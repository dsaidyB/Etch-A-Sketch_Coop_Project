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hyeyBhatt\Desktop\MyProjects\Etch-A-Sketch_Coop_Project\release\"/>
    </mc:Choice>
  </mc:AlternateContent>
  <xr:revisionPtr revIDLastSave="0" documentId="13_ncr:1_{77CEC1D8-B220-4F89-BA29-8B0EDAF594C0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" i="1"/>
  <c r="H40" i="1"/>
  <c r="H41" i="1"/>
  <c r="H42" i="1"/>
  <c r="H43" i="1"/>
  <c r="H44" i="1"/>
  <c r="G36" i="1"/>
  <c r="H46" i="1" l="1"/>
  <c r="B1" i="1" s="1"/>
</calcChain>
</file>

<file path=xl/sharedStrings.xml><?xml version="1.0" encoding="utf-8"?>
<sst xmlns="http://schemas.openxmlformats.org/spreadsheetml/2006/main" count="169" uniqueCount="163">
  <si>
    <t>Part Number</t>
  </si>
  <si>
    <t>Description</t>
  </si>
  <si>
    <t>Quantity</t>
  </si>
  <si>
    <t>Unit Cost (CAD)</t>
  </si>
  <si>
    <t>Total Cost (CAD)</t>
  </si>
  <si>
    <t>Link</t>
  </si>
  <si>
    <t>Comments</t>
  </si>
  <si>
    <t>6inch HD e-Paper HAT</t>
  </si>
  <si>
    <t>https://www.waveshare.com/6inch-HD-e-Paper-HAT.htm</t>
  </si>
  <si>
    <t>STM32L433CCT6</t>
  </si>
  <si>
    <t>IC MCU 32BIT 256KB FLASH 48LQFP</t>
  </si>
  <si>
    <t>https://www.digikey.ca/en/products/detail/stmicroelectronics/STM32L433CCT6/6132750</t>
  </si>
  <si>
    <t>P120PK-Y25BR10K</t>
  </si>
  <si>
    <t>POT 10K OHM 1/20W PLASTIC LINEAR</t>
  </si>
  <si>
    <t>https://www.digikey.ca/en/products/detail/tt-electronics-bi/P120PK-Y25BR10K/5957454</t>
  </si>
  <si>
    <t>MCP1253T-33X50I/MS</t>
  </si>
  <si>
    <t>IC REG CHARGE PUMP PROG 1 8MSOP</t>
  </si>
  <si>
    <t>https://www.digikey.ca/en/products/detail/microchip-technology/MCP1253T-33X50I-MS/530263</t>
  </si>
  <si>
    <t>3034TR</t>
  </si>
  <si>
    <t>BATTERY RETAINER COIN 20MM SMD</t>
  </si>
  <si>
    <t>https://www.digikey.ca/en/products/detail/keystone-electronics/3034TR/4499408</t>
  </si>
  <si>
    <t>EAST1616RGBB2</t>
  </si>
  <si>
    <t>LED RGB DIFFUSED 4SMD</t>
  </si>
  <si>
    <t>https://www.digikey.ca/en/products/detail/everlight-electronics-co-ltd/EAST1616RGBB2/8510360</t>
  </si>
  <si>
    <t>TPS2553DBVT</t>
  </si>
  <si>
    <t>IC PWR SWITCH N-CHAN 1:1 SOT23-6</t>
  </si>
  <si>
    <t>https://www.digikey.ca/en/products/detail/texas-instruments/TPS2553DBVT/1984893</t>
  </si>
  <si>
    <t>FTSH-107-01-L-DV-K-A</t>
  </si>
  <si>
    <t>CONN HEADER SMD 14POS 1.27MM</t>
  </si>
  <si>
    <t>https://www.digikey.ca/en/products/detail/samtec-inc/FTSH-107-01-L-DV-K-A/7443623</t>
  </si>
  <si>
    <t>STDC14</t>
  </si>
  <si>
    <t>LIS2DW12TR</t>
  </si>
  <si>
    <t>ACCEL 2-16G I2C/SPI 12LGA</t>
  </si>
  <si>
    <t>https://www.digikey.ca/en/products/detail/stmicroelectronics/LIS2DW12TR/7348326</t>
  </si>
  <si>
    <t>CONN HEADER VERT 40POS 2.54MM</t>
  </si>
  <si>
    <t>https://www.digikey.ca/en/products/detail/w%C3%BCrth-elektronik/61304021121/4846886</t>
  </si>
  <si>
    <t>Total Cost (CAD):</t>
  </si>
  <si>
    <t>#065-3123-6</t>
  </si>
  <si>
    <t>CR2032 3V Coin Cell Battey, Long Lasting</t>
  </si>
  <si>
    <t>https://www.canadiantire.ca/en/pdp/energizer-6-pk-cr2032-3v-3-volt-lithium-coin-cell-batteries-long-lasting-0653123p.html</t>
  </si>
  <si>
    <t>6 pack</t>
  </si>
  <si>
    <t>GSPTS004003</t>
  </si>
  <si>
    <t>SWITCH TACTILE SPST-NO 0.05A 12V</t>
  </si>
  <si>
    <t>https://www.digikey.ca/en/products/detail/c-k/PTS636SM43SMTR-LFS/10071723</t>
  </si>
  <si>
    <t>BLM18KG121TN1D</t>
  </si>
  <si>
    <t>FERRITE BEAD 120 OHM 0603 1LN</t>
  </si>
  <si>
    <t>Reference</t>
  </si>
  <si>
    <t>Value</t>
  </si>
  <si>
    <t xml:space="preserve">    BT101</t>
  </si>
  <si>
    <t xml:space="preserve">    C101</t>
  </si>
  <si>
    <t xml:space="preserve">    C109</t>
  </si>
  <si>
    <t xml:space="preserve">    C110</t>
  </si>
  <si>
    <t xml:space="preserve">    D101</t>
  </si>
  <si>
    <t xml:space="preserve">    J101</t>
  </si>
  <si>
    <t xml:space="preserve">    J102</t>
  </si>
  <si>
    <t xml:space="preserve">    R103</t>
  </si>
  <si>
    <t xml:space="preserve">    R104</t>
  </si>
  <si>
    <t xml:space="preserve">    R108</t>
  </si>
  <si>
    <t xml:space="preserve">    SW101</t>
  </si>
  <si>
    <t xml:space="preserve">    SW102</t>
  </si>
  <si>
    <t xml:space="preserve">    TP101</t>
  </si>
  <si>
    <t xml:space="preserve">    TP102</t>
  </si>
  <si>
    <t xml:space="preserve">    TP103</t>
  </si>
  <si>
    <t xml:space="preserve">    TP104</t>
  </si>
  <si>
    <t xml:space="preserve">    TP105</t>
  </si>
  <si>
    <t xml:space="preserve">    U101</t>
  </si>
  <si>
    <t xml:space="preserve">    U102</t>
  </si>
  <si>
    <t xml:space="preserve">    U103</t>
  </si>
  <si>
    <t xml:space="preserve"> C102, C103, C106, C108, C111, C112, C114</t>
  </si>
  <si>
    <t>C104, C105, C107, C115, C118</t>
  </si>
  <si>
    <t>C113, C116, C117, C119, C120</t>
  </si>
  <si>
    <t>H101-H108</t>
  </si>
  <si>
    <t>L101, L102</t>
  </si>
  <si>
    <t>R101, R102</t>
  </si>
  <si>
    <t>R105, R110, R111</t>
  </si>
  <si>
    <t>R106, R107</t>
  </si>
  <si>
    <t>R109, R114, R115</t>
  </si>
  <si>
    <t>R112, R113</t>
  </si>
  <si>
    <t>U104, U105</t>
  </si>
  <si>
    <t>Status</t>
  </si>
  <si>
    <t>Ordered</t>
  </si>
  <si>
    <t>https://www.digikey.ca/en/products/detail/murata-electronics/BLM18KG121TN1D/1982762</t>
  </si>
  <si>
    <t>KE_3034TR</t>
  </si>
  <si>
    <t>4.7uF</t>
  </si>
  <si>
    <t>100nF</t>
  </si>
  <si>
    <t>1uF</t>
  </si>
  <si>
    <t>10pF</t>
  </si>
  <si>
    <t>22nF</t>
  </si>
  <si>
    <t>10uF</t>
  </si>
  <si>
    <t>EE_EAST1616RGBB2</t>
  </si>
  <si>
    <t>MountingHole</t>
  </si>
  <si>
    <t>SAM_FTSH-107-01-L-DV-K-A_STDC14</t>
  </si>
  <si>
    <t>WE_61304021121</t>
  </si>
  <si>
    <t>600R@100MHz</t>
  </si>
  <si>
    <t>147R</t>
  </si>
  <si>
    <t>1K</t>
  </si>
  <si>
    <t>511R</t>
  </si>
  <si>
    <t>10K</t>
  </si>
  <si>
    <t>TTE_P120PK-Y25BR10K</t>
  </si>
  <si>
    <t>59K</t>
  </si>
  <si>
    <t>100K</t>
  </si>
  <si>
    <t>23.2K</t>
  </si>
  <si>
    <t>CK_GSPTS004003</t>
  </si>
  <si>
    <t>ESW_RA11131121</t>
  </si>
  <si>
    <t>GND</t>
  </si>
  <si>
    <t>VCC_3V</t>
  </si>
  <si>
    <t>VCC_3V_OUT</t>
  </si>
  <si>
    <t>VCC_3V3</t>
  </si>
  <si>
    <t>VCC_5V</t>
  </si>
  <si>
    <t>TI_TPS2553DBVT</t>
  </si>
  <si>
    <t>ST_LIS2DW12TR</t>
  </si>
  <si>
    <t>MIC_MCP1253T-33X50I/MS</t>
  </si>
  <si>
    <t>N/A</t>
  </si>
  <si>
    <t>Total Cost:</t>
  </si>
  <si>
    <t>RA11131121</t>
  </si>
  <si>
    <t>SWITCH ROCKER SPST 10A 125V</t>
  </si>
  <si>
    <t>https://www.digikey.ca/en/products/detail/e-switch/RA11131121/2720267</t>
  </si>
  <si>
    <t>PPPC202LFBN-RC</t>
  </si>
  <si>
    <t>CONN HDR 40POS 0.1 GOLD PCB</t>
  </si>
  <si>
    <t>https://www.digikey.ca/en/products/detail/sullins-connector-solutions/PPPC202LFBN-RC/810259</t>
  </si>
  <si>
    <t>BLM18AG601SN1D</t>
  </si>
  <si>
    <t>FERRITE BEAD 600 OHM 0603 1LN</t>
  </si>
  <si>
    <t>https://www.digikey.ca/en/products/detail/murata-electronics/BLM18AG601SN1D/584225</t>
  </si>
  <si>
    <t>GRM188Z71C475KE21J</t>
  </si>
  <si>
    <t>CAP CER 4.7UF 16V X7R 0603</t>
  </si>
  <si>
    <t>https://www.digikey.ca/en/products/detail/murata-electronics/GRM188Z71C475KE21J/16033436</t>
  </si>
  <si>
    <t>CC0603KRX7R7BB104</t>
  </si>
  <si>
    <t>CAP CER 0.1UF 16V X7R 0603</t>
  </si>
  <si>
    <t>https://www.digikey.ca/en/products/detail/yageo/CC0603KRX7R7BB104/302822</t>
  </si>
  <si>
    <t>CL10B105KO8NNNC</t>
  </si>
  <si>
    <t>CAP CER 1UF 16V X7R 0603</t>
  </si>
  <si>
    <t>https://www.digikey.ca/en/products/detail/samsung-electro-mechanics/CL10B105KO8NNNC/3886677</t>
  </si>
  <si>
    <t>CL10B223KB8WPNC</t>
  </si>
  <si>
    <t>CAP CER 0.022UF 50V X7R 0603</t>
  </si>
  <si>
    <t>https://www.digikey.ca/en/products/detail/samsung-electro-mechanics/CL10B223KB8WPNC/5961018</t>
  </si>
  <si>
    <t>GRM188Z71A106KA73D</t>
  </si>
  <si>
    <t>CAP CER 10UF 10V X7R 0603</t>
  </si>
  <si>
    <t>https://www.digikey.ca/en/products/detail/murata-electronics/GRM188Z71A106KA73D/13401725</t>
  </si>
  <si>
    <t>C0402C100K5RACTU</t>
  </si>
  <si>
    <t>CAP CER 10PF 50V X7R 0402</t>
  </si>
  <si>
    <t>https://www.digikey.ca/en/products/detail/kemet/C0402C100K5RACTU/10483038</t>
  </si>
  <si>
    <t>RC0603FR-07147RL</t>
  </si>
  <si>
    <t>RES 147 OHM 1% 1/10W 0603</t>
  </si>
  <si>
    <t>https://www.digikey.ca/en/products/detail/yageo/RC0603FR-07147RL/726950</t>
  </si>
  <si>
    <t>RMCF0603FT1K00</t>
  </si>
  <si>
    <t>RES 1K OHM 1% 1/10W 0603</t>
  </si>
  <si>
    <t>https://www.digikey.ca/en/products/detail/stackpole-electronics-inc/RMCF0603FT1K00/1761077</t>
  </si>
  <si>
    <t>RC0603FR-07511RL</t>
  </si>
  <si>
    <t>RES 511 OHM 1% 1/10W 0603</t>
  </si>
  <si>
    <t>https://www.digikey.ca/en/products/detail/yageo/RC0603FR-07511RL/727287</t>
  </si>
  <si>
    <t>&lt; $200</t>
  </si>
  <si>
    <t>RC0603FR-0710KL</t>
  </si>
  <si>
    <t>RES 10K OHM 1% 1/10W 0603</t>
  </si>
  <si>
    <t>https://www.digikey.ca/en/products/detail/yageo/RC0603FR-0710KL/726880</t>
  </si>
  <si>
    <t>RC0603FR-0759KL</t>
  </si>
  <si>
    <t>RES 59K OHM 1% 1/10W 0603</t>
  </si>
  <si>
    <t>https://www.digikey.ca/en/products/detail/yageo/RC0603FR-0759KL/727313</t>
  </si>
  <si>
    <t>RC0603FR-07100KL</t>
  </si>
  <si>
    <t>RES 100K OHM 1% 1/10W 0603</t>
  </si>
  <si>
    <t>https://www.digikey.ca/en/products/detail/yageo/RC0603FR-07100KL/726889</t>
  </si>
  <si>
    <t>RC0603FR-0723K2L</t>
  </si>
  <si>
    <t>RES 23.2K OHM 1% 1/10W 0603</t>
  </si>
  <si>
    <t>https://www.digikey.ca/en/products/detail/yageo/RC0603FR-0723K2L/727068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</si>
</sst>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rgb="FFF3F3F3"/>
      </patternFill>
    </fill>
    <fill>
      <patternFill patternType="solid">
        <fgColor theme="7" tint="0.79998168889431442"/>
        <bgColor rgb="FFF3F3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1" fillId="3" borderId="1" xfId="0" applyFont="1" applyFill="1" applyBorder="1"/>
    <xf numFmtId="3" fontId="1" fillId="0" borderId="0" xfId="0" applyNumberFormat="1" applyFont="1" applyAlignment="1">
      <alignment horizontal="center"/>
    </xf>
    <xf numFmtId="0" fontId="1" fillId="4" borderId="2" xfId="0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5" fillId="3" borderId="1" xfId="1" applyFill="1" applyBorder="1"/>
    <xf numFmtId="0" fontId="7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2" borderId="1" xfId="0" applyFont="1" applyFill="1" applyBorder="1"/>
    <xf numFmtId="0" fontId="0" fillId="0" borderId="0" xfId="0" applyAlignment="1">
      <alignment horizontal="right"/>
    </xf>
    <xf numFmtId="0" fontId="0" fillId="0" borderId="0" xfId="0" applyAlignment="1"/>
    <xf numFmtId="164" fontId="0" fillId="5" borderId="0" xfId="0" applyNumberFormat="1" applyFill="1" applyAlignment="1">
      <alignment horizontal="left"/>
    </xf>
    <xf numFmtId="0" fontId="1" fillId="6" borderId="1" xfId="0" applyFont="1" applyFill="1" applyBorder="1" applyAlignment="1">
      <alignment horizontal="center" wrapText="1"/>
    </xf>
    <xf numFmtId="3" fontId="1" fillId="6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/>
    <xf numFmtId="0" fontId="4" fillId="6" borderId="1" xfId="0" applyFont="1" applyFill="1" applyBorder="1"/>
    <xf numFmtId="0" fontId="6" fillId="7" borderId="1" xfId="0" applyFont="1" applyFill="1" applyBorder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a/en/products/detail/c-k/PTS636SM43SMTR-LFS/10071723" TargetMode="External"/><Relationship Id="rId13" Type="http://schemas.openxmlformats.org/officeDocument/2006/relationships/hyperlink" Target="https://www.digikey.ca/en/products/detail/stmicroelectronics/LIS2DW12TR/7348326" TargetMode="External"/><Relationship Id="rId18" Type="http://schemas.openxmlformats.org/officeDocument/2006/relationships/hyperlink" Target="https://www.digikey.ca/en/products/detail/yageo/RC0603FR-07511RL/727287" TargetMode="External"/><Relationship Id="rId3" Type="http://schemas.openxmlformats.org/officeDocument/2006/relationships/hyperlink" Target="https://www.digikey.ca/en/products/detail/murata-electronics/BLM18KG121TN1D/1982762" TargetMode="External"/><Relationship Id="rId21" Type="http://schemas.openxmlformats.org/officeDocument/2006/relationships/hyperlink" Target="https://www.digikey.ca/en/products/detail/yageo/RC0603FR-07100KL/726889" TargetMode="External"/><Relationship Id="rId7" Type="http://schemas.openxmlformats.org/officeDocument/2006/relationships/hyperlink" Target="https://www.digikey.ca/en/products/detail/keystone-electronics/3034TR/4499408" TargetMode="External"/><Relationship Id="rId12" Type="http://schemas.openxmlformats.org/officeDocument/2006/relationships/hyperlink" Target="https://www.digikey.ca/en/products/detail/everlight-electronics-co-ltd/EAST1616RGBB2/8510360" TargetMode="External"/><Relationship Id="rId17" Type="http://schemas.openxmlformats.org/officeDocument/2006/relationships/hyperlink" Target="https://www.digikey.ca/en/products/detail/stackpole-electronics-inc/RMCF0603FT1K00/1761077" TargetMode="External"/><Relationship Id="rId2" Type="http://schemas.openxmlformats.org/officeDocument/2006/relationships/hyperlink" Target="https://www.canadiantire.ca/en/pdp/energizer-6-pk-cr2032-3v-3-volt-lithium-coin-cell-batteries-long-lasting-0653123p.html" TargetMode="External"/><Relationship Id="rId16" Type="http://schemas.openxmlformats.org/officeDocument/2006/relationships/hyperlink" Target="https://www.digikey.ca/en/products/detail/yageo/RC0603FR-07147RL/726950" TargetMode="External"/><Relationship Id="rId20" Type="http://schemas.openxmlformats.org/officeDocument/2006/relationships/hyperlink" Target="https://www.digikey.ca/en/products/detail/yageo/RC0603FR-0759KL/727313" TargetMode="External"/><Relationship Id="rId1" Type="http://schemas.openxmlformats.org/officeDocument/2006/relationships/hyperlink" Target="https://www.waveshare.com/6inch-HD-e-Paper-HAT.htm" TargetMode="External"/><Relationship Id="rId6" Type="http://schemas.openxmlformats.org/officeDocument/2006/relationships/hyperlink" Target="https://www.digikey.ca/en/products/detail/microchip-technology/MCP1253T-33X50I-MS/530263" TargetMode="External"/><Relationship Id="rId11" Type="http://schemas.openxmlformats.org/officeDocument/2006/relationships/hyperlink" Target="https://www.digikey.ca/en/products/detail/texas-instruments/TPS2553DBVT/1984893" TargetMode="External"/><Relationship Id="rId5" Type="http://schemas.openxmlformats.org/officeDocument/2006/relationships/hyperlink" Target="https://www.digikey.ca/en/products/detail/tt-electronics-bi/P120PK-Y25BR10K/5957454" TargetMode="External"/><Relationship Id="rId15" Type="http://schemas.openxmlformats.org/officeDocument/2006/relationships/hyperlink" Target="https://www.digikey.ca/en/products/detail/sullins-connector-solutions/PPPC202LFBN-RC/810259" TargetMode="External"/><Relationship Id="rId10" Type="http://schemas.openxmlformats.org/officeDocument/2006/relationships/hyperlink" Target="https://www.digikey.ca/en/products/detail/samtec-inc/FTSH-107-01-L-DV-K-A/7443623" TargetMode="External"/><Relationship Id="rId19" Type="http://schemas.openxmlformats.org/officeDocument/2006/relationships/hyperlink" Target="https://www.digikey.ca/en/products/detail/yageo/RC0603FR-0710KL/726880" TargetMode="External"/><Relationship Id="rId4" Type="http://schemas.openxmlformats.org/officeDocument/2006/relationships/hyperlink" Target="https://www.digikey.ca/en/products/detail/stmicroelectronics/STM32L433CCT6/6132750" TargetMode="External"/><Relationship Id="rId9" Type="http://schemas.openxmlformats.org/officeDocument/2006/relationships/hyperlink" Target="https://www.digikey.ca/en/products/detail/w%C3%BCrth-elektronik/61304021121/4846886" TargetMode="External"/><Relationship Id="rId14" Type="http://schemas.openxmlformats.org/officeDocument/2006/relationships/hyperlink" Target="https://www.digikey.ca/en/products/detail/e-switch/RA11131121/2720267" TargetMode="External"/><Relationship Id="rId22" Type="http://schemas.openxmlformats.org/officeDocument/2006/relationships/hyperlink" Target="https://www.digikey.ca/en/products/detail/yageo/RC0603FR-0723K2L/7270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3"/>
  <sheetViews>
    <sheetView tabSelected="1" zoomScale="80" zoomScaleNormal="80" workbookViewId="0">
      <selection activeCell="C3" sqref="C3"/>
    </sheetView>
  </sheetViews>
  <sheetFormatPr defaultColWidth="12.6328125" defaultRowHeight="15.75" customHeight="1" x14ac:dyDescent="0.25"/>
  <cols>
    <col min="2" max="2" width="40.1796875" customWidth="1"/>
    <col min="3" max="3" width="35.1796875" customWidth="1"/>
    <col min="4" max="4" width="21.36328125" customWidth="1"/>
    <col min="5" max="5" width="35.08984375" style="17" customWidth="1"/>
    <col min="6" max="6" width="10.36328125" customWidth="1"/>
    <col min="7" max="7" width="15.08984375" customWidth="1"/>
    <col min="8" max="8" width="16.08984375" customWidth="1"/>
    <col min="9" max="9" width="97.6328125" customWidth="1"/>
    <col min="10" max="11" width="13.7265625" customWidth="1"/>
    <col min="13" max="16" width="12.6328125" customWidth="1"/>
  </cols>
  <sheetData>
    <row r="1" spans="1:11" ht="12.5" x14ac:dyDescent="0.25">
      <c r="A1" s="24" t="s">
        <v>113</v>
      </c>
      <c r="B1" s="26">
        <f>H46</f>
        <v>189.14166666666665</v>
      </c>
      <c r="C1" s="1" t="s">
        <v>150</v>
      </c>
      <c r="F1" s="2"/>
      <c r="H1" s="3"/>
    </row>
    <row r="2" spans="1:11" ht="12.5" x14ac:dyDescent="0.25">
      <c r="C2" s="25"/>
      <c r="F2" s="2"/>
      <c r="H2" s="3"/>
    </row>
    <row r="3" spans="1:11" ht="19.5" customHeight="1" x14ac:dyDescent="0.3">
      <c r="B3" s="21" t="s">
        <v>46</v>
      </c>
      <c r="C3" s="21" t="s">
        <v>47</v>
      </c>
      <c r="D3" s="4" t="s">
        <v>0</v>
      </c>
      <c r="E3" s="18" t="s">
        <v>1</v>
      </c>
      <c r="F3" s="5" t="s">
        <v>2</v>
      </c>
      <c r="G3" s="4" t="s">
        <v>3</v>
      </c>
      <c r="H3" s="4" t="s">
        <v>4</v>
      </c>
      <c r="I3" s="6" t="s">
        <v>5</v>
      </c>
      <c r="J3" s="6" t="s">
        <v>6</v>
      </c>
      <c r="K3" s="23" t="s">
        <v>79</v>
      </c>
    </row>
    <row r="4" spans="1:11" ht="15.5" customHeight="1" x14ac:dyDescent="0.25">
      <c r="A4" s="33">
        <v>1</v>
      </c>
      <c r="B4" s="7" t="s">
        <v>48</v>
      </c>
      <c r="C4" s="7" t="s">
        <v>82</v>
      </c>
      <c r="D4" s="7" t="s">
        <v>18</v>
      </c>
      <c r="E4" s="19" t="s">
        <v>19</v>
      </c>
      <c r="F4" s="8">
        <v>1</v>
      </c>
      <c r="G4" s="9">
        <v>0.47</v>
      </c>
      <c r="H4" s="9">
        <f t="shared" ref="H4:H39" si="0">F4*G4</f>
        <v>0.47</v>
      </c>
      <c r="I4" s="12" t="s">
        <v>20</v>
      </c>
      <c r="J4" s="10"/>
      <c r="K4" s="11"/>
    </row>
    <row r="5" spans="1:11" ht="15.5" customHeight="1" x14ac:dyDescent="0.25">
      <c r="A5" s="33">
        <v>2</v>
      </c>
      <c r="B5" s="7" t="s">
        <v>49</v>
      </c>
      <c r="C5" s="7" t="s">
        <v>83</v>
      </c>
      <c r="D5" s="7" t="s">
        <v>123</v>
      </c>
      <c r="E5" s="19" t="s">
        <v>124</v>
      </c>
      <c r="F5" s="8">
        <v>1</v>
      </c>
      <c r="G5" s="9">
        <v>0.24</v>
      </c>
      <c r="H5" s="9">
        <f t="shared" si="0"/>
        <v>0.24</v>
      </c>
      <c r="I5" s="12" t="s">
        <v>125</v>
      </c>
      <c r="J5" s="12"/>
      <c r="K5" s="13"/>
    </row>
    <row r="6" spans="1:11" ht="15.5" customHeight="1" x14ac:dyDescent="0.25">
      <c r="A6" s="33">
        <v>3</v>
      </c>
      <c r="B6" s="22" t="s">
        <v>68</v>
      </c>
      <c r="C6" s="7" t="s">
        <v>84</v>
      </c>
      <c r="D6" s="7" t="s">
        <v>126</v>
      </c>
      <c r="E6" s="19" t="s">
        <v>127</v>
      </c>
      <c r="F6" s="8">
        <v>7</v>
      </c>
      <c r="G6" s="9">
        <v>0.08</v>
      </c>
      <c r="H6" s="9">
        <f t="shared" si="0"/>
        <v>0.56000000000000005</v>
      </c>
      <c r="I6" s="12" t="s">
        <v>128</v>
      </c>
      <c r="J6" s="12"/>
      <c r="K6" s="13"/>
    </row>
    <row r="7" spans="1:11" ht="15.5" customHeight="1" x14ac:dyDescent="0.25">
      <c r="A7" s="33">
        <v>4</v>
      </c>
      <c r="B7" s="22" t="s">
        <v>69</v>
      </c>
      <c r="C7" s="7" t="s">
        <v>85</v>
      </c>
      <c r="D7" s="7" t="s">
        <v>129</v>
      </c>
      <c r="E7" s="19" t="s">
        <v>130</v>
      </c>
      <c r="F7" s="8">
        <v>5</v>
      </c>
      <c r="G7" s="9">
        <v>0.08</v>
      </c>
      <c r="H7" s="9">
        <f t="shared" si="0"/>
        <v>0.4</v>
      </c>
      <c r="I7" s="12" t="s">
        <v>131</v>
      </c>
      <c r="J7" s="12"/>
      <c r="K7" s="13"/>
    </row>
    <row r="8" spans="1:11" ht="15.5" customHeight="1" x14ac:dyDescent="0.25">
      <c r="A8" s="33">
        <v>5</v>
      </c>
      <c r="B8" s="7" t="s">
        <v>50</v>
      </c>
      <c r="C8" s="7" t="s">
        <v>86</v>
      </c>
      <c r="D8" s="7" t="s">
        <v>138</v>
      </c>
      <c r="E8" s="19" t="s">
        <v>139</v>
      </c>
      <c r="F8" s="8">
        <v>1</v>
      </c>
      <c r="G8" s="9">
        <v>0.1</v>
      </c>
      <c r="H8" s="9">
        <f t="shared" si="0"/>
        <v>0.1</v>
      </c>
      <c r="I8" s="12" t="s">
        <v>140</v>
      </c>
      <c r="J8" s="12"/>
      <c r="K8" s="13"/>
    </row>
    <row r="9" spans="1:11" ht="15.5" customHeight="1" x14ac:dyDescent="0.25">
      <c r="A9" s="33">
        <v>6</v>
      </c>
      <c r="B9" s="7" t="s">
        <v>51</v>
      </c>
      <c r="C9" s="7" t="s">
        <v>87</v>
      </c>
      <c r="D9" s="7" t="s">
        <v>132</v>
      </c>
      <c r="E9" s="19" t="s">
        <v>133</v>
      </c>
      <c r="F9" s="8">
        <v>1</v>
      </c>
      <c r="G9" s="9">
        <v>0.1</v>
      </c>
      <c r="H9" s="9">
        <f t="shared" si="0"/>
        <v>0.1</v>
      </c>
      <c r="I9" s="12" t="s">
        <v>134</v>
      </c>
      <c r="J9" s="12"/>
      <c r="K9" s="13"/>
    </row>
    <row r="10" spans="1:11" ht="15.5" customHeight="1" x14ac:dyDescent="0.25">
      <c r="A10" s="33">
        <v>7</v>
      </c>
      <c r="B10" s="7" t="s">
        <v>70</v>
      </c>
      <c r="C10" s="7" t="s">
        <v>88</v>
      </c>
      <c r="D10" s="7" t="s">
        <v>135</v>
      </c>
      <c r="E10" s="19" t="s">
        <v>136</v>
      </c>
      <c r="F10" s="8">
        <v>5</v>
      </c>
      <c r="G10" s="9">
        <v>0.28000000000000003</v>
      </c>
      <c r="H10" s="9">
        <f t="shared" si="0"/>
        <v>1.4000000000000001</v>
      </c>
      <c r="I10" s="12" t="s">
        <v>137</v>
      </c>
      <c r="J10" s="12"/>
      <c r="K10" s="13"/>
    </row>
    <row r="11" spans="1:11" ht="15.5" customHeight="1" x14ac:dyDescent="0.25">
      <c r="A11" s="33">
        <v>8</v>
      </c>
      <c r="B11" s="7" t="s">
        <v>52</v>
      </c>
      <c r="C11" s="7" t="s">
        <v>89</v>
      </c>
      <c r="D11" s="7" t="s">
        <v>21</v>
      </c>
      <c r="E11" s="19" t="s">
        <v>22</v>
      </c>
      <c r="F11" s="8">
        <v>1</v>
      </c>
      <c r="G11" s="9">
        <v>0.32</v>
      </c>
      <c r="H11" s="9">
        <f t="shared" si="0"/>
        <v>0.32</v>
      </c>
      <c r="I11" s="12" t="s">
        <v>23</v>
      </c>
      <c r="J11" s="13"/>
      <c r="K11" s="13"/>
    </row>
    <row r="12" spans="1:11" ht="15.5" customHeight="1" x14ac:dyDescent="0.25">
      <c r="A12" s="33">
        <v>9</v>
      </c>
      <c r="B12" s="7" t="s">
        <v>71</v>
      </c>
      <c r="C12" s="7" t="s">
        <v>90</v>
      </c>
      <c r="D12" s="7" t="s">
        <v>112</v>
      </c>
      <c r="E12" s="27"/>
      <c r="F12" s="28">
        <v>8</v>
      </c>
      <c r="G12" s="29"/>
      <c r="H12" s="29">
        <f t="shared" si="0"/>
        <v>0</v>
      </c>
      <c r="I12" s="31"/>
      <c r="J12" s="31"/>
      <c r="K12" s="30"/>
    </row>
    <row r="13" spans="1:11" ht="15.5" customHeight="1" x14ac:dyDescent="0.25">
      <c r="A13" s="33">
        <v>10</v>
      </c>
      <c r="B13" s="7" t="s">
        <v>53</v>
      </c>
      <c r="C13" s="7" t="s">
        <v>91</v>
      </c>
      <c r="D13" s="7" t="s">
        <v>27</v>
      </c>
      <c r="E13" s="19" t="s">
        <v>28</v>
      </c>
      <c r="F13" s="8">
        <v>1</v>
      </c>
      <c r="G13" s="9">
        <v>3.21</v>
      </c>
      <c r="H13" s="9">
        <f t="shared" si="0"/>
        <v>3.21</v>
      </c>
      <c r="I13" s="12" t="s">
        <v>29</v>
      </c>
      <c r="J13" s="13" t="s">
        <v>30</v>
      </c>
      <c r="K13" s="13"/>
    </row>
    <row r="14" spans="1:11" ht="15.5" customHeight="1" x14ac:dyDescent="0.25">
      <c r="A14" s="33">
        <v>11</v>
      </c>
      <c r="B14" s="7" t="s">
        <v>54</v>
      </c>
      <c r="C14" s="7" t="s">
        <v>92</v>
      </c>
      <c r="D14" s="7">
        <v>61304021121</v>
      </c>
      <c r="E14" s="19" t="s">
        <v>34</v>
      </c>
      <c r="F14" s="8">
        <v>1</v>
      </c>
      <c r="G14" s="9">
        <v>1.81</v>
      </c>
      <c r="H14" s="9">
        <f t="shared" si="0"/>
        <v>1.81</v>
      </c>
      <c r="I14" s="12" t="s">
        <v>35</v>
      </c>
      <c r="J14" s="13"/>
      <c r="K14" s="13"/>
    </row>
    <row r="15" spans="1:11" ht="15.5" customHeight="1" x14ac:dyDescent="0.25">
      <c r="A15" s="33">
        <v>12</v>
      </c>
      <c r="B15" s="7" t="s">
        <v>72</v>
      </c>
      <c r="C15" s="7" t="s">
        <v>93</v>
      </c>
      <c r="D15" s="7" t="s">
        <v>120</v>
      </c>
      <c r="E15" s="19" t="s">
        <v>121</v>
      </c>
      <c r="F15" s="8">
        <v>2</v>
      </c>
      <c r="G15" s="9">
        <v>0.1</v>
      </c>
      <c r="H15" s="9">
        <f t="shared" si="0"/>
        <v>0.2</v>
      </c>
      <c r="I15" s="20" t="s">
        <v>122</v>
      </c>
      <c r="J15" s="20"/>
      <c r="K15" s="13"/>
    </row>
    <row r="16" spans="1:11" ht="15.5" customHeight="1" x14ac:dyDescent="0.25">
      <c r="A16" s="33">
        <v>13</v>
      </c>
      <c r="B16" s="7" t="s">
        <v>73</v>
      </c>
      <c r="C16" s="7" t="s">
        <v>94</v>
      </c>
      <c r="D16" s="7" t="s">
        <v>141</v>
      </c>
      <c r="E16" s="19" t="s">
        <v>142</v>
      </c>
      <c r="F16" s="8">
        <v>2</v>
      </c>
      <c r="G16" s="9">
        <v>0.1</v>
      </c>
      <c r="H16" s="9">
        <f t="shared" si="0"/>
        <v>0.2</v>
      </c>
      <c r="I16" s="20" t="s">
        <v>143</v>
      </c>
      <c r="J16" s="13"/>
      <c r="K16" s="13"/>
    </row>
    <row r="17" spans="1:11" ht="15.5" customHeight="1" x14ac:dyDescent="0.25">
      <c r="A17" s="33">
        <v>14</v>
      </c>
      <c r="B17" s="7" t="s">
        <v>55</v>
      </c>
      <c r="C17" s="7" t="s">
        <v>95</v>
      </c>
      <c r="D17" s="7" t="s">
        <v>144</v>
      </c>
      <c r="E17" s="19" t="s">
        <v>145</v>
      </c>
      <c r="F17" s="8">
        <v>1</v>
      </c>
      <c r="G17" s="9">
        <v>0.1</v>
      </c>
      <c r="H17" s="9">
        <f t="shared" si="0"/>
        <v>0.1</v>
      </c>
      <c r="I17" s="20" t="s">
        <v>146</v>
      </c>
      <c r="J17" s="13"/>
      <c r="K17" s="13"/>
    </row>
    <row r="18" spans="1:11" ht="15.5" customHeight="1" x14ac:dyDescent="0.25">
      <c r="A18" s="33">
        <v>15</v>
      </c>
      <c r="B18" s="7" t="s">
        <v>56</v>
      </c>
      <c r="C18" s="7" t="s">
        <v>96</v>
      </c>
      <c r="D18" s="7" t="s">
        <v>147</v>
      </c>
      <c r="E18" s="19" t="s">
        <v>148</v>
      </c>
      <c r="F18" s="8">
        <v>1</v>
      </c>
      <c r="G18" s="9">
        <v>0.1</v>
      </c>
      <c r="H18" s="9">
        <f t="shared" si="0"/>
        <v>0.1</v>
      </c>
      <c r="I18" s="20" t="s">
        <v>149</v>
      </c>
      <c r="J18" s="13"/>
      <c r="K18" s="13"/>
    </row>
    <row r="19" spans="1:11" ht="15.5" customHeight="1" x14ac:dyDescent="0.25">
      <c r="A19" s="33">
        <v>16</v>
      </c>
      <c r="B19" s="7" t="s">
        <v>74</v>
      </c>
      <c r="C19" s="7" t="s">
        <v>97</v>
      </c>
      <c r="D19" s="7" t="s">
        <v>151</v>
      </c>
      <c r="E19" s="19" t="s">
        <v>152</v>
      </c>
      <c r="F19" s="8">
        <v>3</v>
      </c>
      <c r="G19" s="9">
        <v>0.1</v>
      </c>
      <c r="H19" s="9">
        <f t="shared" si="0"/>
        <v>0.30000000000000004</v>
      </c>
      <c r="I19" s="20" t="s">
        <v>153</v>
      </c>
      <c r="J19" s="13"/>
      <c r="K19" s="13"/>
    </row>
    <row r="20" spans="1:11" ht="15.5" customHeight="1" x14ac:dyDescent="0.25">
      <c r="A20" s="33">
        <v>17</v>
      </c>
      <c r="B20" s="7" t="s">
        <v>75</v>
      </c>
      <c r="C20" s="7" t="s">
        <v>98</v>
      </c>
      <c r="D20" s="7" t="s">
        <v>12</v>
      </c>
      <c r="E20" s="19" t="s">
        <v>13</v>
      </c>
      <c r="F20" s="8">
        <v>2</v>
      </c>
      <c r="G20" s="9">
        <v>1.42</v>
      </c>
      <c r="H20" s="9">
        <f t="shared" si="0"/>
        <v>2.84</v>
      </c>
      <c r="I20" s="12" t="s">
        <v>14</v>
      </c>
      <c r="J20" s="13"/>
      <c r="K20" s="13"/>
    </row>
    <row r="21" spans="1:11" ht="15.5" customHeight="1" x14ac:dyDescent="0.25">
      <c r="A21" s="33">
        <v>18</v>
      </c>
      <c r="B21" s="7" t="s">
        <v>57</v>
      </c>
      <c r="C21" s="7" t="s">
        <v>99</v>
      </c>
      <c r="D21" s="7" t="s">
        <v>154</v>
      </c>
      <c r="E21" s="19" t="s">
        <v>155</v>
      </c>
      <c r="F21" s="8">
        <v>1</v>
      </c>
      <c r="G21" s="9">
        <v>0.1</v>
      </c>
      <c r="H21" s="9">
        <f t="shared" si="0"/>
        <v>0.1</v>
      </c>
      <c r="I21" s="20" t="s">
        <v>156</v>
      </c>
      <c r="J21" s="13"/>
      <c r="K21" s="13"/>
    </row>
    <row r="22" spans="1:11" ht="15.5" customHeight="1" x14ac:dyDescent="0.25">
      <c r="A22" s="33">
        <v>19</v>
      </c>
      <c r="B22" s="7" t="s">
        <v>76</v>
      </c>
      <c r="C22" s="7" t="s">
        <v>100</v>
      </c>
      <c r="D22" s="7" t="s">
        <v>157</v>
      </c>
      <c r="E22" s="19" t="s">
        <v>158</v>
      </c>
      <c r="F22" s="8">
        <v>3</v>
      </c>
      <c r="G22" s="9">
        <v>0.1</v>
      </c>
      <c r="H22" s="9">
        <f t="shared" si="0"/>
        <v>0.30000000000000004</v>
      </c>
      <c r="I22" s="20" t="s">
        <v>159</v>
      </c>
      <c r="J22" s="13"/>
      <c r="K22" s="13"/>
    </row>
    <row r="23" spans="1:11" ht="15.5" customHeight="1" x14ac:dyDescent="0.25">
      <c r="A23" s="33">
        <v>20</v>
      </c>
      <c r="B23" s="7" t="s">
        <v>77</v>
      </c>
      <c r="C23" s="7" t="s">
        <v>101</v>
      </c>
      <c r="D23" s="7" t="s">
        <v>160</v>
      </c>
      <c r="E23" s="19" t="s">
        <v>161</v>
      </c>
      <c r="F23" s="8">
        <v>2</v>
      </c>
      <c r="G23" s="9">
        <v>0.1</v>
      </c>
      <c r="H23" s="9">
        <f t="shared" si="0"/>
        <v>0.2</v>
      </c>
      <c r="I23" s="20" t="s">
        <v>162</v>
      </c>
      <c r="J23" s="13"/>
      <c r="K23" s="13"/>
    </row>
    <row r="24" spans="1:11" ht="15.5" customHeight="1" x14ac:dyDescent="0.25">
      <c r="A24" s="33">
        <v>21</v>
      </c>
      <c r="B24" s="7" t="s">
        <v>58</v>
      </c>
      <c r="C24" s="7" t="s">
        <v>102</v>
      </c>
      <c r="D24" s="7" t="s">
        <v>41</v>
      </c>
      <c r="E24" s="19" t="s">
        <v>42</v>
      </c>
      <c r="F24" s="8">
        <v>1</v>
      </c>
      <c r="G24" s="9">
        <v>0.2</v>
      </c>
      <c r="H24" s="9">
        <f t="shared" si="0"/>
        <v>0.2</v>
      </c>
      <c r="I24" s="20" t="s">
        <v>43</v>
      </c>
      <c r="J24" s="13"/>
      <c r="K24" s="13"/>
    </row>
    <row r="25" spans="1:11" ht="15.5" customHeight="1" x14ac:dyDescent="0.25">
      <c r="A25" s="33">
        <v>22</v>
      </c>
      <c r="B25" s="7" t="s">
        <v>59</v>
      </c>
      <c r="C25" s="7" t="s">
        <v>103</v>
      </c>
      <c r="D25" s="7" t="s">
        <v>114</v>
      </c>
      <c r="E25" s="19" t="s">
        <v>115</v>
      </c>
      <c r="F25" s="8">
        <v>1</v>
      </c>
      <c r="G25" s="9">
        <v>0.71</v>
      </c>
      <c r="H25" s="9">
        <f t="shared" si="0"/>
        <v>0.71</v>
      </c>
      <c r="I25" s="20" t="s">
        <v>116</v>
      </c>
      <c r="J25" s="13"/>
      <c r="K25" s="13"/>
    </row>
    <row r="26" spans="1:11" ht="15.5" customHeight="1" x14ac:dyDescent="0.25">
      <c r="A26" s="33">
        <v>23</v>
      </c>
      <c r="B26" s="7" t="s">
        <v>60</v>
      </c>
      <c r="C26" s="7" t="s">
        <v>104</v>
      </c>
      <c r="D26" s="7" t="s">
        <v>112</v>
      </c>
      <c r="E26" s="27"/>
      <c r="F26" s="28">
        <v>1</v>
      </c>
      <c r="G26" s="29"/>
      <c r="H26" s="29">
        <f t="shared" si="0"/>
        <v>0</v>
      </c>
      <c r="I26" s="30"/>
      <c r="J26" s="30"/>
      <c r="K26" s="30"/>
    </row>
    <row r="27" spans="1:11" ht="15.5" customHeight="1" x14ac:dyDescent="0.25">
      <c r="A27" s="33">
        <v>24</v>
      </c>
      <c r="B27" s="7" t="s">
        <v>61</v>
      </c>
      <c r="C27" s="7" t="s">
        <v>105</v>
      </c>
      <c r="D27" s="7" t="s">
        <v>112</v>
      </c>
      <c r="E27" s="27"/>
      <c r="F27" s="28">
        <v>1</v>
      </c>
      <c r="G27" s="29"/>
      <c r="H27" s="29">
        <f t="shared" si="0"/>
        <v>0</v>
      </c>
      <c r="I27" s="30"/>
      <c r="J27" s="30"/>
      <c r="K27" s="30"/>
    </row>
    <row r="28" spans="1:11" ht="15.5" customHeight="1" x14ac:dyDescent="0.25">
      <c r="A28" s="33">
        <v>25</v>
      </c>
      <c r="B28" s="7" t="s">
        <v>62</v>
      </c>
      <c r="C28" s="7" t="s">
        <v>106</v>
      </c>
      <c r="D28" s="7" t="s">
        <v>112</v>
      </c>
      <c r="E28" s="27"/>
      <c r="F28" s="28">
        <v>1</v>
      </c>
      <c r="G28" s="29"/>
      <c r="H28" s="29">
        <f t="shared" si="0"/>
        <v>0</v>
      </c>
      <c r="I28" s="30"/>
      <c r="J28" s="30"/>
      <c r="K28" s="30"/>
    </row>
    <row r="29" spans="1:11" ht="15.5" customHeight="1" x14ac:dyDescent="0.25">
      <c r="A29" s="33">
        <v>26</v>
      </c>
      <c r="B29" s="7" t="s">
        <v>63</v>
      </c>
      <c r="C29" s="7" t="s">
        <v>107</v>
      </c>
      <c r="D29" s="7" t="s">
        <v>112</v>
      </c>
      <c r="E29" s="27"/>
      <c r="F29" s="28">
        <v>1</v>
      </c>
      <c r="G29" s="29"/>
      <c r="H29" s="29">
        <f t="shared" si="0"/>
        <v>0</v>
      </c>
      <c r="I29" s="30"/>
      <c r="J29" s="30"/>
      <c r="K29" s="30"/>
    </row>
    <row r="30" spans="1:11" ht="15.5" customHeight="1" x14ac:dyDescent="0.25">
      <c r="A30" s="33">
        <v>27</v>
      </c>
      <c r="B30" s="7" t="s">
        <v>64</v>
      </c>
      <c r="C30" s="7" t="s">
        <v>108</v>
      </c>
      <c r="D30" s="7" t="s">
        <v>112</v>
      </c>
      <c r="E30" s="27"/>
      <c r="F30" s="28">
        <v>1</v>
      </c>
      <c r="G30" s="29"/>
      <c r="H30" s="29">
        <f t="shared" si="0"/>
        <v>0</v>
      </c>
      <c r="I30" s="30"/>
      <c r="J30" s="30"/>
      <c r="K30" s="30"/>
    </row>
    <row r="31" spans="1:11" ht="15.5" customHeight="1" x14ac:dyDescent="0.25">
      <c r="A31" s="33">
        <v>28</v>
      </c>
      <c r="B31" s="7" t="s">
        <v>65</v>
      </c>
      <c r="C31" s="7" t="s">
        <v>9</v>
      </c>
      <c r="D31" s="7" t="s">
        <v>9</v>
      </c>
      <c r="E31" s="19" t="s">
        <v>10</v>
      </c>
      <c r="F31" s="8">
        <v>1</v>
      </c>
      <c r="G31" s="9">
        <v>5.17</v>
      </c>
      <c r="H31" s="9">
        <f t="shared" si="0"/>
        <v>5.17</v>
      </c>
      <c r="I31" s="12" t="s">
        <v>11</v>
      </c>
      <c r="J31" s="13"/>
      <c r="K31" s="13"/>
    </row>
    <row r="32" spans="1:11" ht="15.5" customHeight="1" x14ac:dyDescent="0.25">
      <c r="A32" s="33">
        <v>29</v>
      </c>
      <c r="B32" s="7" t="s">
        <v>66</v>
      </c>
      <c r="C32" s="7" t="s">
        <v>109</v>
      </c>
      <c r="D32" s="7" t="s">
        <v>24</v>
      </c>
      <c r="E32" s="19" t="s">
        <v>25</v>
      </c>
      <c r="F32" s="8">
        <v>1</v>
      </c>
      <c r="G32" s="9">
        <v>1.1399999999999999</v>
      </c>
      <c r="H32" s="9">
        <f t="shared" si="0"/>
        <v>1.1399999999999999</v>
      </c>
      <c r="I32" s="12" t="s">
        <v>26</v>
      </c>
      <c r="J32" s="13"/>
      <c r="K32" s="13"/>
    </row>
    <row r="33" spans="1:11" ht="15.5" customHeight="1" x14ac:dyDescent="0.25">
      <c r="A33" s="33">
        <v>30</v>
      </c>
      <c r="B33" s="7" t="s">
        <v>67</v>
      </c>
      <c r="C33" s="7" t="s">
        <v>110</v>
      </c>
      <c r="D33" s="7" t="s">
        <v>31</v>
      </c>
      <c r="E33" s="19" t="s">
        <v>32</v>
      </c>
      <c r="F33" s="8">
        <v>1</v>
      </c>
      <c r="G33" s="9">
        <v>1.47</v>
      </c>
      <c r="H33" s="9">
        <f t="shared" si="0"/>
        <v>1.47</v>
      </c>
      <c r="I33" s="12" t="s">
        <v>33</v>
      </c>
      <c r="J33" s="13"/>
      <c r="K33" s="13"/>
    </row>
    <row r="34" spans="1:11" ht="15.5" customHeight="1" x14ac:dyDescent="0.25">
      <c r="A34" s="33">
        <v>31</v>
      </c>
      <c r="B34" s="7" t="s">
        <v>78</v>
      </c>
      <c r="C34" s="7" t="s">
        <v>111</v>
      </c>
      <c r="D34" s="7" t="s">
        <v>15</v>
      </c>
      <c r="E34" s="19" t="s">
        <v>16</v>
      </c>
      <c r="F34" s="8">
        <v>2</v>
      </c>
      <c r="G34" s="9">
        <v>1.85</v>
      </c>
      <c r="H34" s="9">
        <f t="shared" si="0"/>
        <v>3.7</v>
      </c>
      <c r="I34" s="12" t="s">
        <v>17</v>
      </c>
      <c r="J34" s="13"/>
      <c r="K34" s="13"/>
    </row>
    <row r="35" spans="1:11" ht="15.5" customHeight="1" x14ac:dyDescent="0.25">
      <c r="A35" s="33">
        <v>32</v>
      </c>
      <c r="B35" s="7"/>
      <c r="C35" s="7"/>
      <c r="D35" s="7">
        <v>17590</v>
      </c>
      <c r="E35" s="19" t="s">
        <v>7</v>
      </c>
      <c r="F35" s="8">
        <v>1</v>
      </c>
      <c r="G35" s="9">
        <v>157.85</v>
      </c>
      <c r="H35" s="9">
        <f t="shared" si="0"/>
        <v>157.85</v>
      </c>
      <c r="I35" s="10" t="s">
        <v>8</v>
      </c>
      <c r="J35" s="10"/>
      <c r="K35" s="32" t="s">
        <v>80</v>
      </c>
    </row>
    <row r="36" spans="1:11" ht="15.5" customHeight="1" x14ac:dyDescent="0.25">
      <c r="A36" s="33">
        <v>33</v>
      </c>
      <c r="B36" s="7"/>
      <c r="C36" s="7"/>
      <c r="D36" s="7" t="s">
        <v>37</v>
      </c>
      <c r="E36" s="19" t="s">
        <v>38</v>
      </c>
      <c r="F36" s="8">
        <v>1</v>
      </c>
      <c r="G36" s="9">
        <f>16.99/6</f>
        <v>2.8316666666666666</v>
      </c>
      <c r="H36" s="9">
        <f t="shared" si="0"/>
        <v>2.8316666666666666</v>
      </c>
      <c r="I36" s="20" t="s">
        <v>39</v>
      </c>
      <c r="J36" s="13" t="s">
        <v>40</v>
      </c>
      <c r="K36" s="13"/>
    </row>
    <row r="37" spans="1:11" ht="15.5" customHeight="1" x14ac:dyDescent="0.25">
      <c r="A37" s="33">
        <v>34</v>
      </c>
      <c r="B37" s="7"/>
      <c r="C37" s="7"/>
      <c r="D37" s="7" t="s">
        <v>44</v>
      </c>
      <c r="E37" s="19" t="s">
        <v>45</v>
      </c>
      <c r="F37" s="8">
        <v>2</v>
      </c>
      <c r="G37" s="9">
        <v>0.1</v>
      </c>
      <c r="H37" s="9">
        <f t="shared" si="0"/>
        <v>0.2</v>
      </c>
      <c r="I37" s="20" t="s">
        <v>81</v>
      </c>
      <c r="J37" s="13"/>
      <c r="K37" s="13"/>
    </row>
    <row r="38" spans="1:11" ht="15.5" customHeight="1" x14ac:dyDescent="0.25">
      <c r="A38" s="33">
        <v>35</v>
      </c>
      <c r="B38" s="7"/>
      <c r="C38" s="7"/>
      <c r="D38" s="7" t="s">
        <v>117</v>
      </c>
      <c r="E38" s="19" t="s">
        <v>118</v>
      </c>
      <c r="F38" s="8">
        <v>1</v>
      </c>
      <c r="G38" s="9">
        <v>2.92</v>
      </c>
      <c r="H38" s="9">
        <f t="shared" si="0"/>
        <v>2.92</v>
      </c>
      <c r="I38" s="20" t="s">
        <v>119</v>
      </c>
      <c r="J38" s="13"/>
      <c r="K38" s="13"/>
    </row>
    <row r="39" spans="1:11" ht="15.5" customHeight="1" x14ac:dyDescent="0.25">
      <c r="B39" s="7"/>
      <c r="C39" s="7"/>
      <c r="D39" s="7"/>
      <c r="E39" s="19"/>
      <c r="F39" s="8"/>
      <c r="G39" s="9"/>
      <c r="H39" s="9">
        <f t="shared" si="0"/>
        <v>0</v>
      </c>
      <c r="I39" s="20"/>
      <c r="J39" s="13"/>
      <c r="K39" s="13"/>
    </row>
    <row r="40" spans="1:11" ht="15.5" customHeight="1" x14ac:dyDescent="0.25">
      <c r="B40" s="7"/>
      <c r="C40" s="7"/>
      <c r="D40" s="7"/>
      <c r="E40" s="19"/>
      <c r="F40" s="8"/>
      <c r="G40" s="9"/>
      <c r="H40" s="9">
        <f t="shared" ref="H37:H44" si="1">F40*G40</f>
        <v>0</v>
      </c>
      <c r="I40" s="20"/>
      <c r="J40" s="13"/>
      <c r="K40" s="13"/>
    </row>
    <row r="41" spans="1:11" ht="15.5" customHeight="1" x14ac:dyDescent="0.25">
      <c r="B41" s="7"/>
      <c r="C41" s="7"/>
      <c r="D41" s="7"/>
      <c r="E41" s="19"/>
      <c r="F41" s="8"/>
      <c r="G41" s="9"/>
      <c r="H41" s="9">
        <f t="shared" si="1"/>
        <v>0</v>
      </c>
      <c r="I41" s="20"/>
      <c r="J41" s="13"/>
      <c r="K41" s="13"/>
    </row>
    <row r="42" spans="1:11" ht="15.5" customHeight="1" x14ac:dyDescent="0.25">
      <c r="B42" s="7"/>
      <c r="C42" s="7"/>
      <c r="D42" s="7"/>
      <c r="E42" s="19"/>
      <c r="F42" s="8"/>
      <c r="G42" s="9"/>
      <c r="H42" s="9">
        <f t="shared" si="1"/>
        <v>0</v>
      </c>
      <c r="I42" s="20"/>
      <c r="J42" s="13"/>
      <c r="K42" s="13"/>
    </row>
    <row r="43" spans="1:11" ht="15.5" customHeight="1" x14ac:dyDescent="0.25">
      <c r="B43" s="7"/>
      <c r="C43" s="7"/>
      <c r="D43" s="7"/>
      <c r="E43" s="19"/>
      <c r="F43" s="8"/>
      <c r="G43" s="9"/>
      <c r="H43" s="9">
        <f t="shared" si="1"/>
        <v>0</v>
      </c>
      <c r="I43" s="20"/>
      <c r="J43" s="13"/>
      <c r="K43" s="13"/>
    </row>
    <row r="44" spans="1:11" ht="15.5" customHeight="1" x14ac:dyDescent="0.25">
      <c r="B44" s="7"/>
      <c r="C44" s="7"/>
      <c r="D44" s="7"/>
      <c r="E44" s="19"/>
      <c r="F44" s="8"/>
      <c r="G44" s="9"/>
      <c r="H44" s="9">
        <f t="shared" si="1"/>
        <v>0</v>
      </c>
      <c r="I44" s="20"/>
      <c r="J44" s="13"/>
      <c r="K44" s="13"/>
    </row>
    <row r="45" spans="1:11" ht="15" customHeight="1" x14ac:dyDescent="0.25">
      <c r="F45" s="14"/>
    </row>
    <row r="46" spans="1:11" ht="15" customHeight="1" x14ac:dyDescent="0.25">
      <c r="F46" s="14"/>
      <c r="G46" s="15" t="s">
        <v>36</v>
      </c>
      <c r="H46" s="16">
        <f>SUM(H4:H45)</f>
        <v>189.14166666666665</v>
      </c>
    </row>
    <row r="47" spans="1:11" ht="12.5" x14ac:dyDescent="0.25">
      <c r="F47" s="14"/>
    </row>
    <row r="48" spans="1:11" ht="12.5" x14ac:dyDescent="0.25">
      <c r="F48" s="14"/>
    </row>
    <row r="49" spans="6:8" ht="12.5" x14ac:dyDescent="0.25">
      <c r="F49" s="2"/>
      <c r="H49" s="3"/>
    </row>
    <row r="50" spans="6:8" ht="12.5" x14ac:dyDescent="0.25">
      <c r="F50" s="2"/>
      <c r="H50" s="3"/>
    </row>
    <row r="51" spans="6:8" ht="12.5" x14ac:dyDescent="0.25">
      <c r="F51" s="2"/>
      <c r="H51" s="3"/>
    </row>
    <row r="52" spans="6:8" ht="12.5" x14ac:dyDescent="0.25">
      <c r="F52" s="2"/>
      <c r="H52" s="3"/>
    </row>
    <row r="53" spans="6:8" ht="12.5" x14ac:dyDescent="0.25">
      <c r="F53" s="2"/>
      <c r="H53" s="3"/>
    </row>
    <row r="54" spans="6:8" ht="12.5" x14ac:dyDescent="0.25">
      <c r="F54" s="2"/>
      <c r="H54" s="3"/>
    </row>
    <row r="55" spans="6:8" ht="12.5" x14ac:dyDescent="0.25">
      <c r="F55" s="2"/>
      <c r="H55" s="3"/>
    </row>
    <row r="56" spans="6:8" ht="12.5" x14ac:dyDescent="0.25">
      <c r="F56" s="2"/>
      <c r="H56" s="3"/>
    </row>
    <row r="57" spans="6:8" ht="12.5" x14ac:dyDescent="0.25">
      <c r="F57" s="2"/>
      <c r="H57" s="3"/>
    </row>
    <row r="58" spans="6:8" ht="12.5" x14ac:dyDescent="0.25">
      <c r="F58" s="2"/>
      <c r="H58" s="3"/>
    </row>
    <row r="59" spans="6:8" ht="12.5" x14ac:dyDescent="0.25">
      <c r="F59" s="2"/>
      <c r="H59" s="3"/>
    </row>
    <row r="60" spans="6:8" ht="12.5" x14ac:dyDescent="0.25">
      <c r="F60" s="2"/>
      <c r="H60" s="3"/>
    </row>
    <row r="61" spans="6:8" ht="12.5" x14ac:dyDescent="0.25">
      <c r="F61" s="2"/>
      <c r="H61" s="3"/>
    </row>
    <row r="62" spans="6:8" ht="12.5" x14ac:dyDescent="0.25">
      <c r="F62" s="2"/>
      <c r="H62" s="3"/>
    </row>
    <row r="63" spans="6:8" ht="12.5" x14ac:dyDescent="0.25">
      <c r="F63" s="2"/>
      <c r="H63" s="3"/>
    </row>
    <row r="64" spans="6:8" ht="12.5" x14ac:dyDescent="0.25">
      <c r="F64" s="2"/>
      <c r="H64" s="3"/>
    </row>
    <row r="65" spans="6:8" ht="12.5" x14ac:dyDescent="0.25">
      <c r="F65" s="2"/>
      <c r="H65" s="3"/>
    </row>
    <row r="66" spans="6:8" ht="12.5" x14ac:dyDescent="0.25">
      <c r="F66" s="2"/>
      <c r="H66" s="3"/>
    </row>
    <row r="67" spans="6:8" ht="12.5" x14ac:dyDescent="0.25">
      <c r="F67" s="2"/>
      <c r="H67" s="3"/>
    </row>
    <row r="68" spans="6:8" ht="12.5" x14ac:dyDescent="0.25">
      <c r="F68" s="2"/>
      <c r="H68" s="3"/>
    </row>
    <row r="69" spans="6:8" ht="12.5" x14ac:dyDescent="0.25">
      <c r="F69" s="2"/>
      <c r="H69" s="3"/>
    </row>
    <row r="70" spans="6:8" ht="12.5" x14ac:dyDescent="0.25">
      <c r="F70" s="2"/>
      <c r="H70" s="3"/>
    </row>
    <row r="71" spans="6:8" ht="12.5" x14ac:dyDescent="0.25">
      <c r="F71" s="2"/>
      <c r="H71" s="3"/>
    </row>
    <row r="72" spans="6:8" ht="12.5" x14ac:dyDescent="0.25">
      <c r="F72" s="2"/>
      <c r="H72" s="3"/>
    </row>
    <row r="73" spans="6:8" ht="12.5" x14ac:dyDescent="0.25">
      <c r="F73" s="2"/>
      <c r="H73" s="3"/>
    </row>
    <row r="74" spans="6:8" ht="12.5" x14ac:dyDescent="0.25">
      <c r="F74" s="2"/>
      <c r="H74" s="3"/>
    </row>
    <row r="75" spans="6:8" ht="12.5" x14ac:dyDescent="0.25">
      <c r="F75" s="2"/>
      <c r="H75" s="3"/>
    </row>
    <row r="76" spans="6:8" ht="12.5" x14ac:dyDescent="0.25">
      <c r="F76" s="2"/>
      <c r="H76" s="3"/>
    </row>
    <row r="77" spans="6:8" ht="12.5" x14ac:dyDescent="0.25">
      <c r="F77" s="2"/>
      <c r="H77" s="3"/>
    </row>
    <row r="78" spans="6:8" ht="12.5" x14ac:dyDescent="0.25">
      <c r="F78" s="2"/>
      <c r="H78" s="3"/>
    </row>
    <row r="79" spans="6:8" ht="12.5" x14ac:dyDescent="0.25">
      <c r="F79" s="2"/>
      <c r="H79" s="3"/>
    </row>
    <row r="80" spans="6:8" ht="12.5" x14ac:dyDescent="0.25">
      <c r="F80" s="2"/>
      <c r="H80" s="3"/>
    </row>
    <row r="81" spans="6:8" ht="12.5" x14ac:dyDescent="0.25">
      <c r="F81" s="2"/>
      <c r="H81" s="3"/>
    </row>
    <row r="82" spans="6:8" ht="12.5" x14ac:dyDescent="0.25">
      <c r="F82" s="2"/>
      <c r="H82" s="3"/>
    </row>
    <row r="83" spans="6:8" ht="12.5" x14ac:dyDescent="0.25">
      <c r="F83" s="2"/>
      <c r="H83" s="3"/>
    </row>
    <row r="84" spans="6:8" ht="12.5" x14ac:dyDescent="0.25">
      <c r="F84" s="2"/>
      <c r="H84" s="3"/>
    </row>
    <row r="85" spans="6:8" ht="12.5" x14ac:dyDescent="0.25">
      <c r="F85" s="2"/>
      <c r="H85" s="3"/>
    </row>
    <row r="86" spans="6:8" ht="12.5" x14ac:dyDescent="0.25">
      <c r="F86" s="2"/>
      <c r="H86" s="3"/>
    </row>
    <row r="87" spans="6:8" ht="12.5" x14ac:dyDescent="0.25">
      <c r="F87" s="2"/>
      <c r="H87" s="3"/>
    </row>
    <row r="88" spans="6:8" ht="12.5" x14ac:dyDescent="0.25">
      <c r="F88" s="2"/>
      <c r="H88" s="3"/>
    </row>
    <row r="89" spans="6:8" ht="12.5" x14ac:dyDescent="0.25">
      <c r="F89" s="2"/>
      <c r="H89" s="3"/>
    </row>
    <row r="90" spans="6:8" ht="12.5" x14ac:dyDescent="0.25">
      <c r="F90" s="2"/>
      <c r="H90" s="3"/>
    </row>
    <row r="91" spans="6:8" ht="12.5" x14ac:dyDescent="0.25">
      <c r="F91" s="2"/>
      <c r="H91" s="3"/>
    </row>
    <row r="92" spans="6:8" ht="12.5" x14ac:dyDescent="0.25">
      <c r="F92" s="2"/>
      <c r="H92" s="3"/>
    </row>
    <row r="93" spans="6:8" ht="12.5" x14ac:dyDescent="0.25">
      <c r="F93" s="2"/>
      <c r="H93" s="3"/>
    </row>
    <row r="94" spans="6:8" ht="12.5" x14ac:dyDescent="0.25">
      <c r="F94" s="2"/>
      <c r="H94" s="3"/>
    </row>
    <row r="95" spans="6:8" ht="12.5" x14ac:dyDescent="0.25">
      <c r="F95" s="2"/>
      <c r="H95" s="3"/>
    </row>
    <row r="96" spans="6:8" ht="12.5" x14ac:dyDescent="0.25">
      <c r="F96" s="2"/>
      <c r="H96" s="3"/>
    </row>
    <row r="97" spans="6:8" ht="12.5" x14ac:dyDescent="0.25">
      <c r="F97" s="2"/>
      <c r="H97" s="3"/>
    </row>
    <row r="98" spans="6:8" ht="12.5" x14ac:dyDescent="0.25">
      <c r="F98" s="2"/>
      <c r="H98" s="3"/>
    </row>
    <row r="99" spans="6:8" ht="12.5" x14ac:dyDescent="0.25">
      <c r="F99" s="2"/>
      <c r="H99" s="3"/>
    </row>
    <row r="100" spans="6:8" ht="12.5" x14ac:dyDescent="0.25">
      <c r="F100" s="2"/>
      <c r="H100" s="3"/>
    </row>
    <row r="101" spans="6:8" ht="12.5" x14ac:dyDescent="0.25">
      <c r="F101" s="2"/>
      <c r="H101" s="3"/>
    </row>
    <row r="102" spans="6:8" ht="12.5" x14ac:dyDescent="0.25">
      <c r="F102" s="2"/>
      <c r="H102" s="3"/>
    </row>
    <row r="103" spans="6:8" ht="12.5" x14ac:dyDescent="0.25">
      <c r="F103" s="2"/>
      <c r="H103" s="3"/>
    </row>
    <row r="104" spans="6:8" ht="12.5" x14ac:dyDescent="0.25">
      <c r="F104" s="2"/>
      <c r="H104" s="3"/>
    </row>
    <row r="105" spans="6:8" ht="12.5" x14ac:dyDescent="0.25">
      <c r="F105" s="2"/>
      <c r="H105" s="3"/>
    </row>
    <row r="106" spans="6:8" ht="12.5" x14ac:dyDescent="0.25">
      <c r="F106" s="2"/>
      <c r="H106" s="3"/>
    </row>
    <row r="107" spans="6:8" ht="12.5" x14ac:dyDescent="0.25">
      <c r="F107" s="2"/>
      <c r="H107" s="3"/>
    </row>
    <row r="108" spans="6:8" ht="12.5" x14ac:dyDescent="0.25">
      <c r="F108" s="2"/>
      <c r="H108" s="3"/>
    </row>
    <row r="109" spans="6:8" ht="12.5" x14ac:dyDescent="0.25">
      <c r="F109" s="2"/>
      <c r="H109" s="3"/>
    </row>
    <row r="110" spans="6:8" ht="12.5" x14ac:dyDescent="0.25">
      <c r="F110" s="2"/>
      <c r="H110" s="3"/>
    </row>
    <row r="111" spans="6:8" ht="12.5" x14ac:dyDescent="0.25">
      <c r="F111" s="2"/>
      <c r="H111" s="3"/>
    </row>
    <row r="112" spans="6:8" ht="12.5" x14ac:dyDescent="0.25">
      <c r="F112" s="2"/>
      <c r="H112" s="3"/>
    </row>
    <row r="113" spans="6:8" ht="12.5" x14ac:dyDescent="0.25">
      <c r="F113" s="2"/>
      <c r="H113" s="3"/>
    </row>
    <row r="114" spans="6:8" ht="12.5" x14ac:dyDescent="0.25">
      <c r="F114" s="2"/>
      <c r="H114" s="3"/>
    </row>
    <row r="115" spans="6:8" ht="12.5" x14ac:dyDescent="0.25">
      <c r="F115" s="2"/>
      <c r="H115" s="3"/>
    </row>
    <row r="116" spans="6:8" ht="12.5" x14ac:dyDescent="0.25">
      <c r="F116" s="2"/>
      <c r="H116" s="3"/>
    </row>
    <row r="117" spans="6:8" ht="12.5" x14ac:dyDescent="0.25">
      <c r="F117" s="2"/>
      <c r="H117" s="3"/>
    </row>
    <row r="118" spans="6:8" ht="12.5" x14ac:dyDescent="0.25">
      <c r="F118" s="2"/>
      <c r="H118" s="3"/>
    </row>
    <row r="119" spans="6:8" ht="12.5" x14ac:dyDescent="0.25">
      <c r="F119" s="2"/>
      <c r="H119" s="3"/>
    </row>
    <row r="120" spans="6:8" ht="12.5" x14ac:dyDescent="0.25">
      <c r="F120" s="2"/>
      <c r="H120" s="3"/>
    </row>
    <row r="121" spans="6:8" ht="12.5" x14ac:dyDescent="0.25">
      <c r="F121" s="2"/>
      <c r="H121" s="3"/>
    </row>
    <row r="122" spans="6:8" ht="12.5" x14ac:dyDescent="0.25">
      <c r="F122" s="2"/>
      <c r="H122" s="3"/>
    </row>
    <row r="123" spans="6:8" ht="12.5" x14ac:dyDescent="0.25">
      <c r="F123" s="2"/>
      <c r="H123" s="3"/>
    </row>
    <row r="124" spans="6:8" ht="12.5" x14ac:dyDescent="0.25">
      <c r="F124" s="2"/>
      <c r="H124" s="3"/>
    </row>
    <row r="125" spans="6:8" ht="12.5" x14ac:dyDescent="0.25">
      <c r="F125" s="2"/>
      <c r="H125" s="3"/>
    </row>
    <row r="126" spans="6:8" ht="12.5" x14ac:dyDescent="0.25">
      <c r="F126" s="2"/>
      <c r="H126" s="3"/>
    </row>
    <row r="127" spans="6:8" ht="12.5" x14ac:dyDescent="0.25">
      <c r="F127" s="2"/>
      <c r="H127" s="3"/>
    </row>
    <row r="128" spans="6:8" ht="12.5" x14ac:dyDescent="0.25">
      <c r="F128" s="2"/>
      <c r="H128" s="3"/>
    </row>
    <row r="129" spans="6:8" ht="12.5" x14ac:dyDescent="0.25">
      <c r="F129" s="2"/>
      <c r="H129" s="3"/>
    </row>
    <row r="130" spans="6:8" ht="12.5" x14ac:dyDescent="0.25">
      <c r="F130" s="2"/>
      <c r="H130" s="3"/>
    </row>
    <row r="131" spans="6:8" ht="12.5" x14ac:dyDescent="0.25">
      <c r="F131" s="2"/>
      <c r="H131" s="3"/>
    </row>
    <row r="132" spans="6:8" ht="12.5" x14ac:dyDescent="0.25">
      <c r="F132" s="2"/>
      <c r="H132" s="3"/>
    </row>
    <row r="133" spans="6:8" ht="12.5" x14ac:dyDescent="0.25">
      <c r="F133" s="2"/>
      <c r="H133" s="3"/>
    </row>
    <row r="134" spans="6:8" ht="12.5" x14ac:dyDescent="0.25">
      <c r="F134" s="2"/>
      <c r="H134" s="3"/>
    </row>
    <row r="135" spans="6:8" ht="12.5" x14ac:dyDescent="0.25">
      <c r="F135" s="2"/>
      <c r="H135" s="3"/>
    </row>
    <row r="136" spans="6:8" ht="12.5" x14ac:dyDescent="0.25">
      <c r="F136" s="2"/>
      <c r="H136" s="3"/>
    </row>
    <row r="137" spans="6:8" ht="12.5" x14ac:dyDescent="0.25">
      <c r="F137" s="2"/>
      <c r="H137" s="3"/>
    </row>
    <row r="138" spans="6:8" ht="12.5" x14ac:dyDescent="0.25">
      <c r="F138" s="2"/>
      <c r="H138" s="3"/>
    </row>
    <row r="139" spans="6:8" ht="12.5" x14ac:dyDescent="0.25">
      <c r="F139" s="2"/>
      <c r="H139" s="3"/>
    </row>
    <row r="140" spans="6:8" ht="12.5" x14ac:dyDescent="0.25">
      <c r="F140" s="2"/>
      <c r="H140" s="3"/>
    </row>
    <row r="141" spans="6:8" ht="12.5" x14ac:dyDescent="0.25">
      <c r="F141" s="2"/>
      <c r="H141" s="3"/>
    </row>
    <row r="142" spans="6:8" ht="12.5" x14ac:dyDescent="0.25">
      <c r="F142" s="2"/>
      <c r="H142" s="3"/>
    </row>
    <row r="143" spans="6:8" ht="12.5" x14ac:dyDescent="0.25">
      <c r="F143" s="2"/>
      <c r="H143" s="3"/>
    </row>
    <row r="144" spans="6:8" ht="12.5" x14ac:dyDescent="0.25">
      <c r="F144" s="2"/>
      <c r="H144" s="3"/>
    </row>
    <row r="145" spans="6:8" ht="12.5" x14ac:dyDescent="0.25">
      <c r="F145" s="2"/>
      <c r="H145" s="3"/>
    </row>
    <row r="146" spans="6:8" ht="12.5" x14ac:dyDescent="0.25">
      <c r="F146" s="2"/>
      <c r="H146" s="3"/>
    </row>
    <row r="147" spans="6:8" ht="12.5" x14ac:dyDescent="0.25">
      <c r="F147" s="2"/>
      <c r="H147" s="3"/>
    </row>
    <row r="148" spans="6:8" ht="12.5" x14ac:dyDescent="0.25">
      <c r="F148" s="2"/>
      <c r="H148" s="3"/>
    </row>
    <row r="149" spans="6:8" ht="12.5" x14ac:dyDescent="0.25">
      <c r="F149" s="2"/>
      <c r="H149" s="3"/>
    </row>
    <row r="150" spans="6:8" ht="12.5" x14ac:dyDescent="0.25">
      <c r="F150" s="2"/>
      <c r="H150" s="3"/>
    </row>
    <row r="151" spans="6:8" ht="12.5" x14ac:dyDescent="0.25">
      <c r="F151" s="2"/>
      <c r="H151" s="3"/>
    </row>
    <row r="152" spans="6:8" ht="12.5" x14ac:dyDescent="0.25">
      <c r="F152" s="2"/>
      <c r="H152" s="3"/>
    </row>
    <row r="153" spans="6:8" ht="12.5" x14ac:dyDescent="0.25">
      <c r="F153" s="2"/>
      <c r="H153" s="3"/>
    </row>
    <row r="154" spans="6:8" ht="12.5" x14ac:dyDescent="0.25">
      <c r="F154" s="2"/>
      <c r="H154" s="3"/>
    </row>
    <row r="155" spans="6:8" ht="12.5" x14ac:dyDescent="0.25">
      <c r="F155" s="2"/>
      <c r="H155" s="3"/>
    </row>
    <row r="156" spans="6:8" ht="12.5" x14ac:dyDescent="0.25">
      <c r="F156" s="2"/>
      <c r="H156" s="3"/>
    </row>
    <row r="157" spans="6:8" ht="12.5" x14ac:dyDescent="0.25">
      <c r="F157" s="2"/>
      <c r="H157" s="3"/>
    </row>
    <row r="158" spans="6:8" ht="12.5" x14ac:dyDescent="0.25">
      <c r="F158" s="2"/>
      <c r="H158" s="3"/>
    </row>
    <row r="159" spans="6:8" ht="12.5" x14ac:dyDescent="0.25">
      <c r="F159" s="2"/>
      <c r="H159" s="3"/>
    </row>
    <row r="160" spans="6:8" ht="12.5" x14ac:dyDescent="0.25">
      <c r="F160" s="2"/>
      <c r="H160" s="3"/>
    </row>
    <row r="161" spans="6:8" ht="12.5" x14ac:dyDescent="0.25">
      <c r="F161" s="2"/>
      <c r="H161" s="3"/>
    </row>
    <row r="162" spans="6:8" ht="12.5" x14ac:dyDescent="0.25">
      <c r="F162" s="2"/>
      <c r="H162" s="3"/>
    </row>
    <row r="163" spans="6:8" ht="12.5" x14ac:dyDescent="0.25">
      <c r="F163" s="2"/>
      <c r="H163" s="3"/>
    </row>
    <row r="164" spans="6:8" ht="12.5" x14ac:dyDescent="0.25">
      <c r="F164" s="2"/>
      <c r="H164" s="3"/>
    </row>
    <row r="165" spans="6:8" ht="12.5" x14ac:dyDescent="0.25">
      <c r="F165" s="2"/>
      <c r="H165" s="3"/>
    </row>
    <row r="166" spans="6:8" ht="12.5" x14ac:dyDescent="0.25">
      <c r="F166" s="2"/>
      <c r="H166" s="3"/>
    </row>
    <row r="167" spans="6:8" ht="12.5" x14ac:dyDescent="0.25">
      <c r="F167" s="2"/>
      <c r="H167" s="3"/>
    </row>
    <row r="168" spans="6:8" ht="12.5" x14ac:dyDescent="0.25">
      <c r="F168" s="2"/>
      <c r="H168" s="3"/>
    </row>
    <row r="169" spans="6:8" ht="12.5" x14ac:dyDescent="0.25">
      <c r="F169" s="2"/>
      <c r="H169" s="3"/>
    </row>
    <row r="170" spans="6:8" ht="12.5" x14ac:dyDescent="0.25">
      <c r="F170" s="2"/>
      <c r="H170" s="3"/>
    </row>
    <row r="171" spans="6:8" ht="12.5" x14ac:dyDescent="0.25">
      <c r="F171" s="2"/>
      <c r="H171" s="3"/>
    </row>
    <row r="172" spans="6:8" ht="12.5" x14ac:dyDescent="0.25">
      <c r="F172" s="2"/>
      <c r="H172" s="3"/>
    </row>
    <row r="173" spans="6:8" ht="12.5" x14ac:dyDescent="0.25">
      <c r="F173" s="2"/>
      <c r="H173" s="3"/>
    </row>
    <row r="174" spans="6:8" ht="12.5" x14ac:dyDescent="0.25">
      <c r="F174" s="2"/>
      <c r="H174" s="3"/>
    </row>
    <row r="175" spans="6:8" ht="12.5" x14ac:dyDescent="0.25">
      <c r="F175" s="2"/>
      <c r="H175" s="3"/>
    </row>
    <row r="176" spans="6:8" ht="12.5" x14ac:dyDescent="0.25">
      <c r="F176" s="2"/>
      <c r="H176" s="3"/>
    </row>
    <row r="177" spans="6:8" ht="12.5" x14ac:dyDescent="0.25">
      <c r="F177" s="2"/>
      <c r="H177" s="3"/>
    </row>
    <row r="178" spans="6:8" ht="12.5" x14ac:dyDescent="0.25">
      <c r="F178" s="2"/>
      <c r="H178" s="3"/>
    </row>
    <row r="179" spans="6:8" ht="12.5" x14ac:dyDescent="0.25">
      <c r="F179" s="2"/>
      <c r="H179" s="3"/>
    </row>
    <row r="180" spans="6:8" ht="12.5" x14ac:dyDescent="0.25">
      <c r="F180" s="2"/>
      <c r="H180" s="3"/>
    </row>
    <row r="181" spans="6:8" ht="12.5" x14ac:dyDescent="0.25">
      <c r="F181" s="2"/>
      <c r="H181" s="3"/>
    </row>
    <row r="182" spans="6:8" ht="12.5" x14ac:dyDescent="0.25">
      <c r="F182" s="2"/>
      <c r="H182" s="3"/>
    </row>
    <row r="183" spans="6:8" ht="12.5" x14ac:dyDescent="0.25">
      <c r="F183" s="2"/>
      <c r="H183" s="3"/>
    </row>
    <row r="184" spans="6:8" ht="12.5" x14ac:dyDescent="0.25">
      <c r="F184" s="2"/>
      <c r="H184" s="3"/>
    </row>
    <row r="185" spans="6:8" ht="12.5" x14ac:dyDescent="0.25">
      <c r="F185" s="2"/>
      <c r="H185" s="3"/>
    </row>
    <row r="186" spans="6:8" ht="12.5" x14ac:dyDescent="0.25">
      <c r="F186" s="2"/>
      <c r="H186" s="3"/>
    </row>
    <row r="187" spans="6:8" ht="12.5" x14ac:dyDescent="0.25">
      <c r="F187" s="2"/>
      <c r="H187" s="3"/>
    </row>
    <row r="188" spans="6:8" ht="12.5" x14ac:dyDescent="0.25">
      <c r="F188" s="2"/>
      <c r="H188" s="3"/>
    </row>
    <row r="189" spans="6:8" ht="12.5" x14ac:dyDescent="0.25">
      <c r="F189" s="2"/>
      <c r="H189" s="3"/>
    </row>
    <row r="190" spans="6:8" ht="12.5" x14ac:dyDescent="0.25">
      <c r="F190" s="2"/>
      <c r="H190" s="3"/>
    </row>
    <row r="191" spans="6:8" ht="12.5" x14ac:dyDescent="0.25">
      <c r="F191" s="2"/>
      <c r="H191" s="3"/>
    </row>
    <row r="192" spans="6:8" ht="12.5" x14ac:dyDescent="0.25">
      <c r="F192" s="2"/>
      <c r="H192" s="3"/>
    </row>
    <row r="193" spans="6:8" ht="12.5" x14ac:dyDescent="0.25">
      <c r="F193" s="2"/>
      <c r="H193" s="3"/>
    </row>
    <row r="194" spans="6:8" ht="12.5" x14ac:dyDescent="0.25">
      <c r="F194" s="2"/>
      <c r="H194" s="3"/>
    </row>
    <row r="195" spans="6:8" ht="12.5" x14ac:dyDescent="0.25">
      <c r="F195" s="2"/>
      <c r="H195" s="3"/>
    </row>
    <row r="196" spans="6:8" ht="12.5" x14ac:dyDescent="0.25">
      <c r="F196" s="2"/>
      <c r="H196" s="3"/>
    </row>
    <row r="197" spans="6:8" ht="12.5" x14ac:dyDescent="0.25">
      <c r="F197" s="2"/>
      <c r="H197" s="3"/>
    </row>
    <row r="198" spans="6:8" ht="12.5" x14ac:dyDescent="0.25">
      <c r="F198" s="2"/>
      <c r="H198" s="3"/>
    </row>
    <row r="199" spans="6:8" ht="12.5" x14ac:dyDescent="0.25">
      <c r="F199" s="2"/>
      <c r="H199" s="3"/>
    </row>
    <row r="200" spans="6:8" ht="12.5" x14ac:dyDescent="0.25">
      <c r="F200" s="2"/>
      <c r="H200" s="3"/>
    </row>
    <row r="201" spans="6:8" ht="12.5" x14ac:dyDescent="0.25">
      <c r="F201" s="2"/>
      <c r="H201" s="3"/>
    </row>
    <row r="202" spans="6:8" ht="12.5" x14ac:dyDescent="0.25">
      <c r="F202" s="2"/>
      <c r="H202" s="3"/>
    </row>
    <row r="203" spans="6:8" ht="12.5" x14ac:dyDescent="0.25">
      <c r="F203" s="2"/>
      <c r="H203" s="3"/>
    </row>
    <row r="204" spans="6:8" ht="12.5" x14ac:dyDescent="0.25">
      <c r="F204" s="2"/>
      <c r="H204" s="3"/>
    </row>
    <row r="205" spans="6:8" ht="12.5" x14ac:dyDescent="0.25">
      <c r="F205" s="2"/>
      <c r="H205" s="3"/>
    </row>
    <row r="206" spans="6:8" ht="12.5" x14ac:dyDescent="0.25">
      <c r="F206" s="2"/>
      <c r="H206" s="3"/>
    </row>
    <row r="207" spans="6:8" ht="12.5" x14ac:dyDescent="0.25">
      <c r="F207" s="2"/>
      <c r="H207" s="3"/>
    </row>
    <row r="208" spans="6:8" ht="12.5" x14ac:dyDescent="0.25">
      <c r="F208" s="2"/>
      <c r="H208" s="3"/>
    </row>
    <row r="209" spans="6:8" ht="12.5" x14ac:dyDescent="0.25">
      <c r="F209" s="2"/>
      <c r="H209" s="3"/>
    </row>
    <row r="210" spans="6:8" ht="12.5" x14ac:dyDescent="0.25">
      <c r="F210" s="2"/>
      <c r="H210" s="3"/>
    </row>
    <row r="211" spans="6:8" ht="12.5" x14ac:dyDescent="0.25">
      <c r="F211" s="2"/>
      <c r="H211" s="3"/>
    </row>
    <row r="212" spans="6:8" ht="12.5" x14ac:dyDescent="0.25">
      <c r="F212" s="2"/>
      <c r="H212" s="3"/>
    </row>
    <row r="213" spans="6:8" ht="12.5" x14ac:dyDescent="0.25">
      <c r="F213" s="2"/>
      <c r="H213" s="3"/>
    </row>
    <row r="214" spans="6:8" ht="12.5" x14ac:dyDescent="0.25">
      <c r="F214" s="2"/>
      <c r="H214" s="3"/>
    </row>
    <row r="215" spans="6:8" ht="12.5" x14ac:dyDescent="0.25">
      <c r="F215" s="2"/>
      <c r="H215" s="3"/>
    </row>
    <row r="216" spans="6:8" ht="12.5" x14ac:dyDescent="0.25">
      <c r="F216" s="2"/>
      <c r="H216" s="3"/>
    </row>
    <row r="217" spans="6:8" ht="12.5" x14ac:dyDescent="0.25">
      <c r="F217" s="2"/>
      <c r="H217" s="3"/>
    </row>
    <row r="218" spans="6:8" ht="12.5" x14ac:dyDescent="0.25">
      <c r="F218" s="2"/>
      <c r="H218" s="3"/>
    </row>
    <row r="219" spans="6:8" ht="12.5" x14ac:dyDescent="0.25">
      <c r="F219" s="2"/>
      <c r="H219" s="3"/>
    </row>
    <row r="220" spans="6:8" ht="12.5" x14ac:dyDescent="0.25">
      <c r="F220" s="2"/>
      <c r="H220" s="3"/>
    </row>
    <row r="221" spans="6:8" ht="12.5" x14ac:dyDescent="0.25">
      <c r="F221" s="2"/>
      <c r="H221" s="3"/>
    </row>
    <row r="222" spans="6:8" ht="12.5" x14ac:dyDescent="0.25">
      <c r="F222" s="2"/>
      <c r="H222" s="3"/>
    </row>
    <row r="223" spans="6:8" ht="12.5" x14ac:dyDescent="0.25">
      <c r="F223" s="2"/>
      <c r="H223" s="3"/>
    </row>
    <row r="224" spans="6:8" ht="12.5" x14ac:dyDescent="0.25">
      <c r="F224" s="2"/>
      <c r="H224" s="3"/>
    </row>
    <row r="225" spans="6:8" ht="12.5" x14ac:dyDescent="0.25">
      <c r="F225" s="2"/>
      <c r="H225" s="3"/>
    </row>
    <row r="226" spans="6:8" ht="12.5" x14ac:dyDescent="0.25">
      <c r="F226" s="2"/>
      <c r="H226" s="3"/>
    </row>
    <row r="227" spans="6:8" ht="12.5" x14ac:dyDescent="0.25">
      <c r="F227" s="2"/>
      <c r="H227" s="3"/>
    </row>
    <row r="228" spans="6:8" ht="12.5" x14ac:dyDescent="0.25">
      <c r="F228" s="2"/>
      <c r="H228" s="3"/>
    </row>
    <row r="229" spans="6:8" ht="12.5" x14ac:dyDescent="0.25">
      <c r="F229" s="2"/>
      <c r="H229" s="3"/>
    </row>
    <row r="230" spans="6:8" ht="12.5" x14ac:dyDescent="0.25">
      <c r="F230" s="2"/>
      <c r="H230" s="3"/>
    </row>
    <row r="231" spans="6:8" ht="12.5" x14ac:dyDescent="0.25">
      <c r="F231" s="2"/>
      <c r="H231" s="3"/>
    </row>
    <row r="232" spans="6:8" ht="12.5" x14ac:dyDescent="0.25">
      <c r="F232" s="2"/>
      <c r="H232" s="3"/>
    </row>
    <row r="233" spans="6:8" ht="12.5" x14ac:dyDescent="0.25">
      <c r="F233" s="2"/>
      <c r="H233" s="3"/>
    </row>
    <row r="234" spans="6:8" ht="12.5" x14ac:dyDescent="0.25">
      <c r="F234" s="2"/>
      <c r="H234" s="3"/>
    </row>
    <row r="235" spans="6:8" ht="12.5" x14ac:dyDescent="0.25">
      <c r="F235" s="2"/>
      <c r="H235" s="3"/>
    </row>
    <row r="236" spans="6:8" ht="12.5" x14ac:dyDescent="0.25">
      <c r="F236" s="2"/>
      <c r="H236" s="3"/>
    </row>
    <row r="237" spans="6:8" ht="12.5" x14ac:dyDescent="0.25">
      <c r="F237" s="2"/>
      <c r="H237" s="3"/>
    </row>
    <row r="238" spans="6:8" ht="12.5" x14ac:dyDescent="0.25">
      <c r="F238" s="2"/>
      <c r="H238" s="3"/>
    </row>
    <row r="239" spans="6:8" ht="12.5" x14ac:dyDescent="0.25">
      <c r="F239" s="2"/>
      <c r="H239" s="3"/>
    </row>
    <row r="240" spans="6:8" ht="12.5" x14ac:dyDescent="0.25">
      <c r="F240" s="2"/>
      <c r="H240" s="3"/>
    </row>
    <row r="241" spans="6:8" ht="12.5" x14ac:dyDescent="0.25">
      <c r="F241" s="2"/>
      <c r="H241" s="3"/>
    </row>
    <row r="242" spans="6:8" ht="12.5" x14ac:dyDescent="0.25">
      <c r="F242" s="2"/>
      <c r="H242" s="3"/>
    </row>
    <row r="243" spans="6:8" ht="12.5" x14ac:dyDescent="0.25">
      <c r="F243" s="2"/>
      <c r="H243" s="3"/>
    </row>
    <row r="244" spans="6:8" ht="12.5" x14ac:dyDescent="0.25">
      <c r="F244" s="2"/>
      <c r="H244" s="3"/>
    </row>
    <row r="245" spans="6:8" ht="12.5" x14ac:dyDescent="0.25">
      <c r="F245" s="2"/>
      <c r="H245" s="3"/>
    </row>
    <row r="246" spans="6:8" ht="12.5" x14ac:dyDescent="0.25">
      <c r="F246" s="2"/>
      <c r="H246" s="3"/>
    </row>
    <row r="247" spans="6:8" ht="12.5" x14ac:dyDescent="0.25">
      <c r="F247" s="2"/>
      <c r="H247" s="3"/>
    </row>
    <row r="248" spans="6:8" ht="12.5" x14ac:dyDescent="0.25">
      <c r="F248" s="2"/>
      <c r="H248" s="3"/>
    </row>
    <row r="249" spans="6:8" ht="12.5" x14ac:dyDescent="0.25">
      <c r="F249" s="2"/>
      <c r="H249" s="3"/>
    </row>
    <row r="250" spans="6:8" ht="12.5" x14ac:dyDescent="0.25">
      <c r="F250" s="2"/>
      <c r="H250" s="3"/>
    </row>
    <row r="251" spans="6:8" ht="12.5" x14ac:dyDescent="0.25">
      <c r="F251" s="2"/>
      <c r="H251" s="3"/>
    </row>
    <row r="252" spans="6:8" ht="12.5" x14ac:dyDescent="0.25">
      <c r="F252" s="2"/>
      <c r="H252" s="3"/>
    </row>
    <row r="253" spans="6:8" ht="12.5" x14ac:dyDescent="0.25">
      <c r="F253" s="2"/>
      <c r="H253" s="3"/>
    </row>
    <row r="254" spans="6:8" ht="12.5" x14ac:dyDescent="0.25">
      <c r="F254" s="2"/>
      <c r="H254" s="3"/>
    </row>
    <row r="255" spans="6:8" ht="12.5" x14ac:dyDescent="0.25">
      <c r="F255" s="2"/>
      <c r="H255" s="3"/>
    </row>
    <row r="256" spans="6:8" ht="12.5" x14ac:dyDescent="0.25">
      <c r="F256" s="2"/>
      <c r="H256" s="3"/>
    </row>
    <row r="257" spans="6:8" ht="12.5" x14ac:dyDescent="0.25">
      <c r="F257" s="2"/>
      <c r="H257" s="3"/>
    </row>
    <row r="258" spans="6:8" ht="12.5" x14ac:dyDescent="0.25">
      <c r="F258" s="2"/>
      <c r="H258" s="3"/>
    </row>
    <row r="259" spans="6:8" ht="12.5" x14ac:dyDescent="0.25">
      <c r="F259" s="2"/>
      <c r="H259" s="3"/>
    </row>
    <row r="260" spans="6:8" ht="12.5" x14ac:dyDescent="0.25">
      <c r="F260" s="2"/>
      <c r="H260" s="3"/>
    </row>
    <row r="261" spans="6:8" ht="12.5" x14ac:dyDescent="0.25">
      <c r="F261" s="2"/>
      <c r="H261" s="3"/>
    </row>
    <row r="262" spans="6:8" ht="12.5" x14ac:dyDescent="0.25">
      <c r="F262" s="2"/>
      <c r="H262" s="3"/>
    </row>
    <row r="263" spans="6:8" ht="12.5" x14ac:dyDescent="0.25">
      <c r="F263" s="2"/>
      <c r="H263" s="3"/>
    </row>
    <row r="264" spans="6:8" ht="12.5" x14ac:dyDescent="0.25">
      <c r="F264" s="2"/>
      <c r="H264" s="3"/>
    </row>
    <row r="265" spans="6:8" ht="12.5" x14ac:dyDescent="0.25">
      <c r="F265" s="2"/>
      <c r="H265" s="3"/>
    </row>
    <row r="266" spans="6:8" ht="12.5" x14ac:dyDescent="0.25">
      <c r="F266" s="2"/>
      <c r="H266" s="3"/>
    </row>
    <row r="267" spans="6:8" ht="12.5" x14ac:dyDescent="0.25">
      <c r="F267" s="2"/>
      <c r="H267" s="3"/>
    </row>
    <row r="268" spans="6:8" ht="12.5" x14ac:dyDescent="0.25">
      <c r="F268" s="2"/>
      <c r="H268" s="3"/>
    </row>
    <row r="269" spans="6:8" ht="12.5" x14ac:dyDescent="0.25">
      <c r="F269" s="2"/>
      <c r="H269" s="3"/>
    </row>
    <row r="270" spans="6:8" ht="12.5" x14ac:dyDescent="0.25">
      <c r="F270" s="2"/>
      <c r="H270" s="3"/>
    </row>
    <row r="271" spans="6:8" ht="12.5" x14ac:dyDescent="0.25">
      <c r="F271" s="2"/>
      <c r="H271" s="3"/>
    </row>
    <row r="272" spans="6:8" ht="12.5" x14ac:dyDescent="0.25">
      <c r="F272" s="2"/>
      <c r="H272" s="3"/>
    </row>
    <row r="273" spans="6:8" ht="12.5" x14ac:dyDescent="0.25">
      <c r="F273" s="2"/>
      <c r="H273" s="3"/>
    </row>
    <row r="274" spans="6:8" ht="12.5" x14ac:dyDescent="0.25">
      <c r="F274" s="2"/>
      <c r="H274" s="3"/>
    </row>
    <row r="275" spans="6:8" ht="12.5" x14ac:dyDescent="0.25">
      <c r="F275" s="2"/>
      <c r="H275" s="3"/>
    </row>
    <row r="276" spans="6:8" ht="12.5" x14ac:dyDescent="0.25">
      <c r="F276" s="2"/>
      <c r="H276" s="3"/>
    </row>
    <row r="277" spans="6:8" ht="12.5" x14ac:dyDescent="0.25">
      <c r="F277" s="2"/>
      <c r="H277" s="3"/>
    </row>
    <row r="278" spans="6:8" ht="12.5" x14ac:dyDescent="0.25">
      <c r="F278" s="2"/>
      <c r="H278" s="3"/>
    </row>
    <row r="279" spans="6:8" ht="12.5" x14ac:dyDescent="0.25">
      <c r="F279" s="2"/>
      <c r="H279" s="3"/>
    </row>
    <row r="280" spans="6:8" ht="12.5" x14ac:dyDescent="0.25">
      <c r="F280" s="2"/>
      <c r="H280" s="3"/>
    </row>
    <row r="281" spans="6:8" ht="12.5" x14ac:dyDescent="0.25">
      <c r="F281" s="2"/>
      <c r="H281" s="3"/>
    </row>
    <row r="282" spans="6:8" ht="12.5" x14ac:dyDescent="0.25">
      <c r="F282" s="2"/>
      <c r="H282" s="3"/>
    </row>
    <row r="283" spans="6:8" ht="12.5" x14ac:dyDescent="0.25">
      <c r="F283" s="2"/>
      <c r="H283" s="3"/>
    </row>
    <row r="284" spans="6:8" ht="12.5" x14ac:dyDescent="0.25">
      <c r="F284" s="2"/>
      <c r="H284" s="3"/>
    </row>
    <row r="285" spans="6:8" ht="12.5" x14ac:dyDescent="0.25">
      <c r="F285" s="2"/>
      <c r="H285" s="3"/>
    </row>
    <row r="286" spans="6:8" ht="12.5" x14ac:dyDescent="0.25">
      <c r="F286" s="2"/>
      <c r="H286" s="3"/>
    </row>
    <row r="287" spans="6:8" ht="12.5" x14ac:dyDescent="0.25">
      <c r="F287" s="2"/>
      <c r="H287" s="3"/>
    </row>
    <row r="288" spans="6:8" ht="12.5" x14ac:dyDescent="0.25">
      <c r="F288" s="2"/>
      <c r="H288" s="3"/>
    </row>
    <row r="289" spans="6:8" ht="12.5" x14ac:dyDescent="0.25">
      <c r="F289" s="2"/>
      <c r="H289" s="3"/>
    </row>
    <row r="290" spans="6:8" ht="12.5" x14ac:dyDescent="0.25">
      <c r="F290" s="2"/>
      <c r="H290" s="3"/>
    </row>
    <row r="291" spans="6:8" ht="12.5" x14ac:dyDescent="0.25">
      <c r="F291" s="2"/>
      <c r="H291" s="3"/>
    </row>
    <row r="292" spans="6:8" ht="12.5" x14ac:dyDescent="0.25">
      <c r="F292" s="2"/>
      <c r="H292" s="3"/>
    </row>
    <row r="293" spans="6:8" ht="12.5" x14ac:dyDescent="0.25">
      <c r="F293" s="2"/>
      <c r="H293" s="3"/>
    </row>
    <row r="294" spans="6:8" ht="12.5" x14ac:dyDescent="0.25">
      <c r="F294" s="2"/>
      <c r="H294" s="3"/>
    </row>
    <row r="295" spans="6:8" ht="12.5" x14ac:dyDescent="0.25">
      <c r="F295" s="2"/>
      <c r="H295" s="3"/>
    </row>
    <row r="296" spans="6:8" ht="12.5" x14ac:dyDescent="0.25">
      <c r="F296" s="2"/>
      <c r="H296" s="3"/>
    </row>
    <row r="297" spans="6:8" ht="12.5" x14ac:dyDescent="0.25">
      <c r="F297" s="2"/>
      <c r="H297" s="3"/>
    </row>
    <row r="298" spans="6:8" ht="12.5" x14ac:dyDescent="0.25">
      <c r="F298" s="2"/>
      <c r="H298" s="3"/>
    </row>
    <row r="299" spans="6:8" ht="12.5" x14ac:dyDescent="0.25">
      <c r="F299" s="2"/>
      <c r="H299" s="3"/>
    </row>
    <row r="300" spans="6:8" ht="12.5" x14ac:dyDescent="0.25">
      <c r="F300" s="2"/>
      <c r="H300" s="3"/>
    </row>
    <row r="301" spans="6:8" ht="12.5" x14ac:dyDescent="0.25">
      <c r="F301" s="2"/>
      <c r="H301" s="3"/>
    </row>
    <row r="302" spans="6:8" ht="12.5" x14ac:dyDescent="0.25">
      <c r="F302" s="2"/>
      <c r="H302" s="3"/>
    </row>
    <row r="303" spans="6:8" ht="12.5" x14ac:dyDescent="0.25">
      <c r="F303" s="2"/>
      <c r="H303" s="3"/>
    </row>
    <row r="304" spans="6:8" ht="12.5" x14ac:dyDescent="0.25">
      <c r="F304" s="2"/>
      <c r="H304" s="3"/>
    </row>
    <row r="305" spans="6:8" ht="12.5" x14ac:dyDescent="0.25">
      <c r="F305" s="2"/>
      <c r="H305" s="3"/>
    </row>
    <row r="306" spans="6:8" ht="12.5" x14ac:dyDescent="0.25">
      <c r="F306" s="2"/>
      <c r="H306" s="3"/>
    </row>
    <row r="307" spans="6:8" ht="12.5" x14ac:dyDescent="0.25">
      <c r="F307" s="2"/>
      <c r="H307" s="3"/>
    </row>
    <row r="308" spans="6:8" ht="12.5" x14ac:dyDescent="0.25">
      <c r="F308" s="2"/>
      <c r="H308" s="3"/>
    </row>
    <row r="309" spans="6:8" ht="12.5" x14ac:dyDescent="0.25">
      <c r="F309" s="2"/>
      <c r="H309" s="3"/>
    </row>
    <row r="310" spans="6:8" ht="12.5" x14ac:dyDescent="0.25">
      <c r="F310" s="2"/>
      <c r="H310" s="3"/>
    </row>
    <row r="311" spans="6:8" ht="12.5" x14ac:dyDescent="0.25">
      <c r="F311" s="2"/>
      <c r="H311" s="3"/>
    </row>
    <row r="312" spans="6:8" ht="12.5" x14ac:dyDescent="0.25">
      <c r="F312" s="2"/>
      <c r="H312" s="3"/>
    </row>
    <row r="313" spans="6:8" ht="12.5" x14ac:dyDescent="0.25">
      <c r="F313" s="2"/>
      <c r="H313" s="3"/>
    </row>
    <row r="314" spans="6:8" ht="12.5" x14ac:dyDescent="0.25">
      <c r="F314" s="2"/>
      <c r="H314" s="3"/>
    </row>
    <row r="315" spans="6:8" ht="12.5" x14ac:dyDescent="0.25">
      <c r="F315" s="2"/>
      <c r="H315" s="3"/>
    </row>
    <row r="316" spans="6:8" ht="12.5" x14ac:dyDescent="0.25">
      <c r="F316" s="2"/>
      <c r="H316" s="3"/>
    </row>
    <row r="317" spans="6:8" ht="12.5" x14ac:dyDescent="0.25">
      <c r="F317" s="2"/>
      <c r="H317" s="3"/>
    </row>
    <row r="318" spans="6:8" ht="12.5" x14ac:dyDescent="0.25">
      <c r="F318" s="2"/>
      <c r="H318" s="3"/>
    </row>
    <row r="319" spans="6:8" ht="12.5" x14ac:dyDescent="0.25">
      <c r="F319" s="2"/>
      <c r="H319" s="3"/>
    </row>
    <row r="320" spans="6:8" ht="12.5" x14ac:dyDescent="0.25">
      <c r="F320" s="2"/>
      <c r="H320" s="3"/>
    </row>
    <row r="321" spans="6:8" ht="12.5" x14ac:dyDescent="0.25">
      <c r="F321" s="2"/>
      <c r="H321" s="3"/>
    </row>
    <row r="322" spans="6:8" ht="12.5" x14ac:dyDescent="0.25">
      <c r="F322" s="2"/>
      <c r="H322" s="3"/>
    </row>
    <row r="323" spans="6:8" ht="12.5" x14ac:dyDescent="0.25">
      <c r="F323" s="2"/>
      <c r="H323" s="3"/>
    </row>
    <row r="324" spans="6:8" ht="12.5" x14ac:dyDescent="0.25">
      <c r="F324" s="2"/>
      <c r="H324" s="3"/>
    </row>
    <row r="325" spans="6:8" ht="12.5" x14ac:dyDescent="0.25">
      <c r="F325" s="2"/>
      <c r="H325" s="3"/>
    </row>
    <row r="326" spans="6:8" ht="12.5" x14ac:dyDescent="0.25">
      <c r="F326" s="2"/>
      <c r="H326" s="3"/>
    </row>
    <row r="327" spans="6:8" ht="12.5" x14ac:dyDescent="0.25">
      <c r="F327" s="2"/>
      <c r="H327" s="3"/>
    </row>
    <row r="328" spans="6:8" ht="12.5" x14ac:dyDescent="0.25">
      <c r="F328" s="2"/>
      <c r="H328" s="3"/>
    </row>
    <row r="329" spans="6:8" ht="12.5" x14ac:dyDescent="0.25">
      <c r="F329" s="2"/>
      <c r="H329" s="3"/>
    </row>
    <row r="330" spans="6:8" ht="12.5" x14ac:dyDescent="0.25">
      <c r="F330" s="2"/>
      <c r="H330" s="3"/>
    </row>
    <row r="331" spans="6:8" ht="12.5" x14ac:dyDescent="0.25">
      <c r="F331" s="2"/>
      <c r="H331" s="3"/>
    </row>
    <row r="332" spans="6:8" ht="12.5" x14ac:dyDescent="0.25">
      <c r="F332" s="2"/>
      <c r="H332" s="3"/>
    </row>
    <row r="333" spans="6:8" ht="12.5" x14ac:dyDescent="0.25">
      <c r="F333" s="2"/>
      <c r="H333" s="3"/>
    </row>
    <row r="334" spans="6:8" ht="12.5" x14ac:dyDescent="0.25">
      <c r="F334" s="2"/>
      <c r="H334" s="3"/>
    </row>
    <row r="335" spans="6:8" ht="12.5" x14ac:dyDescent="0.25">
      <c r="F335" s="2"/>
      <c r="H335" s="3"/>
    </row>
    <row r="336" spans="6:8" ht="12.5" x14ac:dyDescent="0.25">
      <c r="F336" s="2"/>
      <c r="H336" s="3"/>
    </row>
    <row r="337" spans="6:8" ht="12.5" x14ac:dyDescent="0.25">
      <c r="F337" s="2"/>
      <c r="H337" s="3"/>
    </row>
    <row r="338" spans="6:8" ht="12.5" x14ac:dyDescent="0.25">
      <c r="F338" s="2"/>
      <c r="H338" s="3"/>
    </row>
    <row r="339" spans="6:8" ht="12.5" x14ac:dyDescent="0.25">
      <c r="F339" s="2"/>
      <c r="H339" s="3"/>
    </row>
    <row r="340" spans="6:8" ht="12.5" x14ac:dyDescent="0.25">
      <c r="F340" s="2"/>
      <c r="H340" s="3"/>
    </row>
    <row r="341" spans="6:8" ht="12.5" x14ac:dyDescent="0.25">
      <c r="F341" s="2"/>
      <c r="H341" s="3"/>
    </row>
    <row r="342" spans="6:8" ht="12.5" x14ac:dyDescent="0.25">
      <c r="F342" s="2"/>
      <c r="H342" s="3"/>
    </row>
    <row r="343" spans="6:8" ht="12.5" x14ac:dyDescent="0.25">
      <c r="F343" s="2"/>
      <c r="H343" s="3"/>
    </row>
    <row r="344" spans="6:8" ht="12.5" x14ac:dyDescent="0.25">
      <c r="F344" s="2"/>
      <c r="H344" s="3"/>
    </row>
    <row r="345" spans="6:8" ht="12.5" x14ac:dyDescent="0.25">
      <c r="F345" s="2"/>
      <c r="H345" s="3"/>
    </row>
    <row r="346" spans="6:8" ht="12.5" x14ac:dyDescent="0.25">
      <c r="F346" s="2"/>
      <c r="H346" s="3"/>
    </row>
    <row r="347" spans="6:8" ht="12.5" x14ac:dyDescent="0.25">
      <c r="F347" s="2"/>
      <c r="H347" s="3"/>
    </row>
    <row r="348" spans="6:8" ht="12.5" x14ac:dyDescent="0.25">
      <c r="F348" s="2"/>
      <c r="H348" s="3"/>
    </row>
    <row r="349" spans="6:8" ht="12.5" x14ac:dyDescent="0.25">
      <c r="F349" s="2"/>
      <c r="H349" s="3"/>
    </row>
    <row r="350" spans="6:8" ht="12.5" x14ac:dyDescent="0.25">
      <c r="F350" s="2"/>
      <c r="H350" s="3"/>
    </row>
    <row r="351" spans="6:8" ht="12.5" x14ac:dyDescent="0.25">
      <c r="F351" s="2"/>
      <c r="H351" s="3"/>
    </row>
    <row r="352" spans="6:8" ht="12.5" x14ac:dyDescent="0.25">
      <c r="F352" s="2"/>
      <c r="H352" s="3"/>
    </row>
    <row r="353" spans="6:8" ht="12.5" x14ac:dyDescent="0.25">
      <c r="F353" s="2"/>
      <c r="H353" s="3"/>
    </row>
    <row r="354" spans="6:8" ht="12.5" x14ac:dyDescent="0.25">
      <c r="F354" s="2"/>
      <c r="H354" s="3"/>
    </row>
    <row r="355" spans="6:8" ht="12.5" x14ac:dyDescent="0.25">
      <c r="F355" s="2"/>
      <c r="H355" s="3"/>
    </row>
    <row r="356" spans="6:8" ht="12.5" x14ac:dyDescent="0.25">
      <c r="F356" s="2"/>
      <c r="H356" s="3"/>
    </row>
    <row r="357" spans="6:8" ht="12.5" x14ac:dyDescent="0.25">
      <c r="F357" s="2"/>
      <c r="H357" s="3"/>
    </row>
    <row r="358" spans="6:8" ht="12.5" x14ac:dyDescent="0.25">
      <c r="F358" s="2"/>
      <c r="H358" s="3"/>
    </row>
    <row r="359" spans="6:8" ht="12.5" x14ac:dyDescent="0.25">
      <c r="F359" s="2"/>
      <c r="H359" s="3"/>
    </row>
    <row r="360" spans="6:8" ht="12.5" x14ac:dyDescent="0.25">
      <c r="F360" s="2"/>
      <c r="H360" s="3"/>
    </row>
    <row r="361" spans="6:8" ht="12.5" x14ac:dyDescent="0.25">
      <c r="F361" s="2"/>
      <c r="H361" s="3"/>
    </row>
    <row r="362" spans="6:8" ht="12.5" x14ac:dyDescent="0.25">
      <c r="F362" s="2"/>
      <c r="H362" s="3"/>
    </row>
    <row r="363" spans="6:8" ht="12.5" x14ac:dyDescent="0.25">
      <c r="F363" s="2"/>
      <c r="H363" s="3"/>
    </row>
    <row r="364" spans="6:8" ht="12.5" x14ac:dyDescent="0.25">
      <c r="F364" s="2"/>
      <c r="H364" s="3"/>
    </row>
    <row r="365" spans="6:8" ht="12.5" x14ac:dyDescent="0.25">
      <c r="F365" s="2"/>
      <c r="H365" s="3"/>
    </row>
    <row r="366" spans="6:8" ht="12.5" x14ac:dyDescent="0.25">
      <c r="F366" s="2"/>
      <c r="H366" s="3"/>
    </row>
    <row r="367" spans="6:8" ht="12.5" x14ac:dyDescent="0.25">
      <c r="F367" s="2"/>
      <c r="H367" s="3"/>
    </row>
    <row r="368" spans="6:8" ht="12.5" x14ac:dyDescent="0.25">
      <c r="F368" s="2"/>
      <c r="H368" s="3"/>
    </row>
    <row r="369" spans="6:8" ht="12.5" x14ac:dyDescent="0.25">
      <c r="F369" s="2"/>
      <c r="H369" s="3"/>
    </row>
    <row r="370" spans="6:8" ht="12.5" x14ac:dyDescent="0.25">
      <c r="F370" s="2"/>
      <c r="H370" s="3"/>
    </row>
    <row r="371" spans="6:8" ht="12.5" x14ac:dyDescent="0.25">
      <c r="F371" s="2"/>
      <c r="H371" s="3"/>
    </row>
    <row r="372" spans="6:8" ht="12.5" x14ac:dyDescent="0.25">
      <c r="F372" s="2"/>
      <c r="H372" s="3"/>
    </row>
    <row r="373" spans="6:8" ht="12.5" x14ac:dyDescent="0.25">
      <c r="F373" s="2"/>
      <c r="H373" s="3"/>
    </row>
    <row r="374" spans="6:8" ht="12.5" x14ac:dyDescent="0.25">
      <c r="F374" s="2"/>
      <c r="H374" s="3"/>
    </row>
    <row r="375" spans="6:8" ht="12.5" x14ac:dyDescent="0.25">
      <c r="F375" s="2"/>
      <c r="H375" s="3"/>
    </row>
    <row r="376" spans="6:8" ht="12.5" x14ac:dyDescent="0.25">
      <c r="F376" s="2"/>
      <c r="H376" s="3"/>
    </row>
    <row r="377" spans="6:8" ht="12.5" x14ac:dyDescent="0.25">
      <c r="F377" s="2"/>
      <c r="H377" s="3"/>
    </row>
    <row r="378" spans="6:8" ht="12.5" x14ac:dyDescent="0.25">
      <c r="F378" s="2"/>
      <c r="H378" s="3"/>
    </row>
    <row r="379" spans="6:8" ht="12.5" x14ac:dyDescent="0.25">
      <c r="F379" s="2"/>
      <c r="H379" s="3"/>
    </row>
    <row r="380" spans="6:8" ht="12.5" x14ac:dyDescent="0.25">
      <c r="F380" s="2"/>
      <c r="H380" s="3"/>
    </row>
    <row r="381" spans="6:8" ht="12.5" x14ac:dyDescent="0.25">
      <c r="F381" s="2"/>
      <c r="H381" s="3"/>
    </row>
    <row r="382" spans="6:8" ht="12.5" x14ac:dyDescent="0.25">
      <c r="F382" s="2"/>
      <c r="H382" s="3"/>
    </row>
    <row r="383" spans="6:8" ht="12.5" x14ac:dyDescent="0.25">
      <c r="F383" s="2"/>
      <c r="H383" s="3"/>
    </row>
    <row r="384" spans="6:8" ht="12.5" x14ac:dyDescent="0.25">
      <c r="F384" s="2"/>
      <c r="H384" s="3"/>
    </row>
    <row r="385" spans="6:8" ht="12.5" x14ac:dyDescent="0.25">
      <c r="F385" s="2"/>
      <c r="H385" s="3"/>
    </row>
    <row r="386" spans="6:8" ht="12.5" x14ac:dyDescent="0.25">
      <c r="F386" s="2"/>
      <c r="H386" s="3"/>
    </row>
    <row r="387" spans="6:8" ht="12.5" x14ac:dyDescent="0.25">
      <c r="F387" s="2"/>
      <c r="H387" s="3"/>
    </row>
    <row r="388" spans="6:8" ht="12.5" x14ac:dyDescent="0.25">
      <c r="F388" s="2"/>
      <c r="H388" s="3"/>
    </row>
    <row r="389" spans="6:8" ht="12.5" x14ac:dyDescent="0.25">
      <c r="F389" s="2"/>
      <c r="H389" s="3"/>
    </row>
    <row r="390" spans="6:8" ht="12.5" x14ac:dyDescent="0.25">
      <c r="F390" s="2"/>
      <c r="H390" s="3"/>
    </row>
    <row r="391" spans="6:8" ht="12.5" x14ac:dyDescent="0.25">
      <c r="F391" s="2"/>
      <c r="H391" s="3"/>
    </row>
    <row r="392" spans="6:8" ht="12.5" x14ac:dyDescent="0.25">
      <c r="F392" s="2"/>
      <c r="H392" s="3"/>
    </row>
    <row r="393" spans="6:8" ht="12.5" x14ac:dyDescent="0.25">
      <c r="F393" s="2"/>
      <c r="H393" s="3"/>
    </row>
    <row r="394" spans="6:8" ht="12.5" x14ac:dyDescent="0.25">
      <c r="F394" s="2"/>
      <c r="H394" s="3"/>
    </row>
    <row r="395" spans="6:8" ht="12.5" x14ac:dyDescent="0.25">
      <c r="F395" s="2"/>
      <c r="H395" s="3"/>
    </row>
    <row r="396" spans="6:8" ht="12.5" x14ac:dyDescent="0.25">
      <c r="F396" s="2"/>
      <c r="H396" s="3"/>
    </row>
    <row r="397" spans="6:8" ht="12.5" x14ac:dyDescent="0.25">
      <c r="F397" s="2"/>
      <c r="H397" s="3"/>
    </row>
    <row r="398" spans="6:8" ht="12.5" x14ac:dyDescent="0.25">
      <c r="F398" s="2"/>
      <c r="H398" s="3"/>
    </row>
    <row r="399" spans="6:8" ht="12.5" x14ac:dyDescent="0.25">
      <c r="F399" s="2"/>
      <c r="H399" s="3"/>
    </row>
    <row r="400" spans="6:8" ht="12.5" x14ac:dyDescent="0.25">
      <c r="F400" s="2"/>
      <c r="H400" s="3"/>
    </row>
    <row r="401" spans="6:8" ht="12.5" x14ac:dyDescent="0.25">
      <c r="F401" s="2"/>
      <c r="H401" s="3"/>
    </row>
    <row r="402" spans="6:8" ht="12.5" x14ac:dyDescent="0.25">
      <c r="F402" s="2"/>
      <c r="H402" s="3"/>
    </row>
    <row r="403" spans="6:8" ht="12.5" x14ac:dyDescent="0.25">
      <c r="F403" s="2"/>
      <c r="H403" s="3"/>
    </row>
    <row r="404" spans="6:8" ht="12.5" x14ac:dyDescent="0.25">
      <c r="F404" s="2"/>
      <c r="H404" s="3"/>
    </row>
    <row r="405" spans="6:8" ht="12.5" x14ac:dyDescent="0.25">
      <c r="F405" s="2"/>
      <c r="H405" s="3"/>
    </row>
    <row r="406" spans="6:8" ht="12.5" x14ac:dyDescent="0.25">
      <c r="F406" s="2"/>
      <c r="H406" s="3"/>
    </row>
    <row r="407" spans="6:8" ht="12.5" x14ac:dyDescent="0.25">
      <c r="F407" s="2"/>
      <c r="H407" s="3"/>
    </row>
    <row r="408" spans="6:8" ht="12.5" x14ac:dyDescent="0.25">
      <c r="F408" s="2"/>
      <c r="H408" s="3"/>
    </row>
    <row r="409" spans="6:8" ht="12.5" x14ac:dyDescent="0.25">
      <c r="F409" s="2"/>
      <c r="H409" s="3"/>
    </row>
    <row r="410" spans="6:8" ht="12.5" x14ac:dyDescent="0.25">
      <c r="F410" s="2"/>
      <c r="H410" s="3"/>
    </row>
    <row r="411" spans="6:8" ht="12.5" x14ac:dyDescent="0.25">
      <c r="F411" s="2"/>
      <c r="H411" s="3"/>
    </row>
    <row r="412" spans="6:8" ht="12.5" x14ac:dyDescent="0.25">
      <c r="F412" s="2"/>
      <c r="H412" s="3"/>
    </row>
    <row r="413" spans="6:8" ht="12.5" x14ac:dyDescent="0.25">
      <c r="F413" s="2"/>
      <c r="H413" s="3"/>
    </row>
    <row r="414" spans="6:8" ht="12.5" x14ac:dyDescent="0.25">
      <c r="F414" s="2"/>
      <c r="H414" s="3"/>
    </row>
    <row r="415" spans="6:8" ht="12.5" x14ac:dyDescent="0.25">
      <c r="F415" s="2"/>
      <c r="H415" s="3"/>
    </row>
    <row r="416" spans="6:8" ht="12.5" x14ac:dyDescent="0.25">
      <c r="F416" s="2"/>
      <c r="H416" s="3"/>
    </row>
    <row r="417" spans="6:8" ht="12.5" x14ac:dyDescent="0.25">
      <c r="F417" s="2"/>
      <c r="H417" s="3"/>
    </row>
    <row r="418" spans="6:8" ht="12.5" x14ac:dyDescent="0.25">
      <c r="F418" s="2"/>
      <c r="H418" s="3"/>
    </row>
    <row r="419" spans="6:8" ht="12.5" x14ac:dyDescent="0.25">
      <c r="F419" s="2"/>
      <c r="H419" s="3"/>
    </row>
    <row r="420" spans="6:8" ht="12.5" x14ac:dyDescent="0.25">
      <c r="F420" s="2"/>
      <c r="H420" s="3"/>
    </row>
    <row r="421" spans="6:8" ht="12.5" x14ac:dyDescent="0.25">
      <c r="F421" s="2"/>
      <c r="H421" s="3"/>
    </row>
    <row r="422" spans="6:8" ht="12.5" x14ac:dyDescent="0.25">
      <c r="F422" s="2"/>
      <c r="H422" s="3"/>
    </row>
    <row r="423" spans="6:8" ht="12.5" x14ac:dyDescent="0.25">
      <c r="F423" s="2"/>
      <c r="H423" s="3"/>
    </row>
    <row r="424" spans="6:8" ht="12.5" x14ac:dyDescent="0.25">
      <c r="F424" s="2"/>
      <c r="H424" s="3"/>
    </row>
    <row r="425" spans="6:8" ht="12.5" x14ac:dyDescent="0.25">
      <c r="F425" s="2"/>
      <c r="H425" s="3"/>
    </row>
    <row r="426" spans="6:8" ht="12.5" x14ac:dyDescent="0.25">
      <c r="F426" s="2"/>
      <c r="H426" s="3"/>
    </row>
    <row r="427" spans="6:8" ht="12.5" x14ac:dyDescent="0.25">
      <c r="F427" s="2"/>
      <c r="H427" s="3"/>
    </row>
    <row r="428" spans="6:8" ht="12.5" x14ac:dyDescent="0.25">
      <c r="F428" s="2"/>
      <c r="H428" s="3"/>
    </row>
    <row r="429" spans="6:8" ht="12.5" x14ac:dyDescent="0.25">
      <c r="F429" s="2"/>
      <c r="H429" s="3"/>
    </row>
    <row r="430" spans="6:8" ht="12.5" x14ac:dyDescent="0.25">
      <c r="F430" s="2"/>
      <c r="H430" s="3"/>
    </row>
    <row r="431" spans="6:8" ht="12.5" x14ac:dyDescent="0.25">
      <c r="F431" s="2"/>
      <c r="H431" s="3"/>
    </row>
    <row r="432" spans="6:8" ht="12.5" x14ac:dyDescent="0.25">
      <c r="F432" s="2"/>
      <c r="H432" s="3"/>
    </row>
    <row r="433" spans="6:8" ht="12.5" x14ac:dyDescent="0.25">
      <c r="F433" s="2"/>
      <c r="H433" s="3"/>
    </row>
    <row r="434" spans="6:8" ht="12.5" x14ac:dyDescent="0.25">
      <c r="F434" s="2"/>
      <c r="H434" s="3"/>
    </row>
    <row r="435" spans="6:8" ht="12.5" x14ac:dyDescent="0.25">
      <c r="F435" s="2"/>
      <c r="H435" s="3"/>
    </row>
    <row r="436" spans="6:8" ht="12.5" x14ac:dyDescent="0.25">
      <c r="F436" s="2"/>
      <c r="H436" s="3"/>
    </row>
    <row r="437" spans="6:8" ht="12.5" x14ac:dyDescent="0.25">
      <c r="F437" s="2"/>
      <c r="H437" s="3"/>
    </row>
    <row r="438" spans="6:8" ht="12.5" x14ac:dyDescent="0.25">
      <c r="F438" s="2"/>
      <c r="H438" s="3"/>
    </row>
    <row r="439" spans="6:8" ht="12.5" x14ac:dyDescent="0.25">
      <c r="F439" s="2"/>
      <c r="H439" s="3"/>
    </row>
    <row r="440" spans="6:8" ht="12.5" x14ac:dyDescent="0.25">
      <c r="F440" s="2"/>
      <c r="H440" s="3"/>
    </row>
    <row r="441" spans="6:8" ht="12.5" x14ac:dyDescent="0.25">
      <c r="F441" s="2"/>
      <c r="H441" s="3"/>
    </row>
    <row r="442" spans="6:8" ht="12.5" x14ac:dyDescent="0.25">
      <c r="F442" s="2"/>
      <c r="H442" s="3"/>
    </row>
    <row r="443" spans="6:8" ht="12.5" x14ac:dyDescent="0.25">
      <c r="F443" s="2"/>
      <c r="H443" s="3"/>
    </row>
    <row r="444" spans="6:8" ht="12.5" x14ac:dyDescent="0.25">
      <c r="F444" s="2"/>
      <c r="H444" s="3"/>
    </row>
    <row r="445" spans="6:8" ht="12.5" x14ac:dyDescent="0.25">
      <c r="F445" s="2"/>
      <c r="H445" s="3"/>
    </row>
    <row r="446" spans="6:8" ht="12.5" x14ac:dyDescent="0.25">
      <c r="F446" s="2"/>
      <c r="H446" s="3"/>
    </row>
    <row r="447" spans="6:8" ht="12.5" x14ac:dyDescent="0.25">
      <c r="F447" s="2"/>
      <c r="H447" s="3"/>
    </row>
    <row r="448" spans="6:8" ht="12.5" x14ac:dyDescent="0.25">
      <c r="F448" s="2"/>
      <c r="H448" s="3"/>
    </row>
    <row r="449" spans="6:8" ht="12.5" x14ac:dyDescent="0.25">
      <c r="F449" s="2"/>
      <c r="H449" s="3"/>
    </row>
    <row r="450" spans="6:8" ht="12.5" x14ac:dyDescent="0.25">
      <c r="F450" s="2"/>
      <c r="H450" s="3"/>
    </row>
    <row r="451" spans="6:8" ht="12.5" x14ac:dyDescent="0.25">
      <c r="F451" s="2"/>
      <c r="H451" s="3"/>
    </row>
    <row r="452" spans="6:8" ht="12.5" x14ac:dyDescent="0.25">
      <c r="F452" s="2"/>
      <c r="H452" s="3"/>
    </row>
    <row r="453" spans="6:8" ht="12.5" x14ac:dyDescent="0.25">
      <c r="F453" s="2"/>
      <c r="H453" s="3"/>
    </row>
    <row r="454" spans="6:8" ht="12.5" x14ac:dyDescent="0.25">
      <c r="F454" s="2"/>
      <c r="H454" s="3"/>
    </row>
    <row r="455" spans="6:8" ht="12.5" x14ac:dyDescent="0.25">
      <c r="F455" s="2"/>
      <c r="H455" s="3"/>
    </row>
    <row r="456" spans="6:8" ht="12.5" x14ac:dyDescent="0.25">
      <c r="F456" s="2"/>
      <c r="H456" s="3"/>
    </row>
    <row r="457" spans="6:8" ht="12.5" x14ac:dyDescent="0.25">
      <c r="F457" s="2"/>
      <c r="H457" s="3"/>
    </row>
    <row r="458" spans="6:8" ht="12.5" x14ac:dyDescent="0.25">
      <c r="F458" s="2"/>
      <c r="H458" s="3"/>
    </row>
    <row r="459" spans="6:8" ht="12.5" x14ac:dyDescent="0.25">
      <c r="F459" s="2"/>
      <c r="H459" s="3"/>
    </row>
    <row r="460" spans="6:8" ht="12.5" x14ac:dyDescent="0.25">
      <c r="F460" s="2"/>
      <c r="H460" s="3"/>
    </row>
    <row r="461" spans="6:8" ht="12.5" x14ac:dyDescent="0.25">
      <c r="F461" s="2"/>
      <c r="H461" s="3"/>
    </row>
    <row r="462" spans="6:8" ht="12.5" x14ac:dyDescent="0.25">
      <c r="F462" s="2"/>
      <c r="H462" s="3"/>
    </row>
    <row r="463" spans="6:8" ht="12.5" x14ac:dyDescent="0.25">
      <c r="F463" s="2"/>
      <c r="H463" s="3"/>
    </row>
    <row r="464" spans="6:8" ht="12.5" x14ac:dyDescent="0.25">
      <c r="F464" s="2"/>
      <c r="H464" s="3"/>
    </row>
    <row r="465" spans="6:8" ht="12.5" x14ac:dyDescent="0.25">
      <c r="F465" s="2"/>
      <c r="H465" s="3"/>
    </row>
    <row r="466" spans="6:8" ht="12.5" x14ac:dyDescent="0.25">
      <c r="F466" s="2"/>
      <c r="H466" s="3"/>
    </row>
    <row r="467" spans="6:8" ht="12.5" x14ac:dyDescent="0.25">
      <c r="F467" s="2"/>
      <c r="H467" s="3"/>
    </row>
    <row r="468" spans="6:8" ht="12.5" x14ac:dyDescent="0.25">
      <c r="F468" s="2"/>
      <c r="H468" s="3"/>
    </row>
    <row r="469" spans="6:8" ht="12.5" x14ac:dyDescent="0.25">
      <c r="F469" s="2"/>
      <c r="H469" s="3"/>
    </row>
    <row r="470" spans="6:8" ht="12.5" x14ac:dyDescent="0.25">
      <c r="F470" s="2"/>
      <c r="H470" s="3"/>
    </row>
    <row r="471" spans="6:8" ht="12.5" x14ac:dyDescent="0.25">
      <c r="F471" s="2"/>
      <c r="H471" s="3"/>
    </row>
    <row r="472" spans="6:8" ht="12.5" x14ac:dyDescent="0.25">
      <c r="F472" s="2"/>
      <c r="H472" s="3"/>
    </row>
    <row r="473" spans="6:8" ht="12.5" x14ac:dyDescent="0.25">
      <c r="F473" s="2"/>
      <c r="H473" s="3"/>
    </row>
    <row r="474" spans="6:8" ht="12.5" x14ac:dyDescent="0.25">
      <c r="F474" s="2"/>
      <c r="H474" s="3"/>
    </row>
    <row r="475" spans="6:8" ht="12.5" x14ac:dyDescent="0.25">
      <c r="F475" s="2"/>
      <c r="H475" s="3"/>
    </row>
    <row r="476" spans="6:8" ht="12.5" x14ac:dyDescent="0.25">
      <c r="F476" s="2"/>
      <c r="H476" s="3"/>
    </row>
    <row r="477" spans="6:8" ht="12.5" x14ac:dyDescent="0.25">
      <c r="F477" s="2"/>
      <c r="H477" s="3"/>
    </row>
    <row r="478" spans="6:8" ht="12.5" x14ac:dyDescent="0.25">
      <c r="F478" s="2"/>
      <c r="H478" s="3"/>
    </row>
    <row r="479" spans="6:8" ht="12.5" x14ac:dyDescent="0.25">
      <c r="F479" s="2"/>
      <c r="H479" s="3"/>
    </row>
    <row r="480" spans="6:8" ht="12.5" x14ac:dyDescent="0.25">
      <c r="F480" s="2"/>
      <c r="H480" s="3"/>
    </row>
    <row r="481" spans="6:8" ht="12.5" x14ac:dyDescent="0.25">
      <c r="F481" s="2"/>
      <c r="H481" s="3"/>
    </row>
    <row r="482" spans="6:8" ht="12.5" x14ac:dyDescent="0.25">
      <c r="F482" s="2"/>
      <c r="H482" s="3"/>
    </row>
    <row r="483" spans="6:8" ht="12.5" x14ac:dyDescent="0.25">
      <c r="F483" s="2"/>
      <c r="H483" s="3"/>
    </row>
    <row r="484" spans="6:8" ht="12.5" x14ac:dyDescent="0.25">
      <c r="F484" s="2"/>
      <c r="H484" s="3"/>
    </row>
    <row r="485" spans="6:8" ht="12.5" x14ac:dyDescent="0.25">
      <c r="F485" s="2"/>
      <c r="H485" s="3"/>
    </row>
    <row r="486" spans="6:8" ht="12.5" x14ac:dyDescent="0.25">
      <c r="F486" s="2"/>
      <c r="H486" s="3"/>
    </row>
    <row r="487" spans="6:8" ht="12.5" x14ac:dyDescent="0.25">
      <c r="F487" s="2"/>
      <c r="H487" s="3"/>
    </row>
    <row r="488" spans="6:8" ht="12.5" x14ac:dyDescent="0.25">
      <c r="F488" s="2"/>
      <c r="H488" s="3"/>
    </row>
    <row r="489" spans="6:8" ht="12.5" x14ac:dyDescent="0.25">
      <c r="F489" s="2"/>
      <c r="H489" s="3"/>
    </row>
    <row r="490" spans="6:8" ht="12.5" x14ac:dyDescent="0.25">
      <c r="F490" s="2"/>
      <c r="H490" s="3"/>
    </row>
    <row r="491" spans="6:8" ht="12.5" x14ac:dyDescent="0.25">
      <c r="F491" s="2"/>
      <c r="H491" s="3"/>
    </row>
    <row r="492" spans="6:8" ht="12.5" x14ac:dyDescent="0.25">
      <c r="F492" s="2"/>
      <c r="H492" s="3"/>
    </row>
    <row r="493" spans="6:8" ht="12.5" x14ac:dyDescent="0.25">
      <c r="F493" s="2"/>
      <c r="H493" s="3"/>
    </row>
    <row r="494" spans="6:8" ht="12.5" x14ac:dyDescent="0.25">
      <c r="F494" s="2"/>
      <c r="H494" s="3"/>
    </row>
    <row r="495" spans="6:8" ht="12.5" x14ac:dyDescent="0.25">
      <c r="F495" s="2"/>
      <c r="H495" s="3"/>
    </row>
    <row r="496" spans="6:8" ht="12.5" x14ac:dyDescent="0.25">
      <c r="F496" s="2"/>
      <c r="H496" s="3"/>
    </row>
    <row r="497" spans="6:8" ht="12.5" x14ac:dyDescent="0.25">
      <c r="F497" s="2"/>
      <c r="H497" s="3"/>
    </row>
    <row r="498" spans="6:8" ht="12.5" x14ac:dyDescent="0.25">
      <c r="F498" s="2"/>
      <c r="H498" s="3"/>
    </row>
    <row r="499" spans="6:8" ht="12.5" x14ac:dyDescent="0.25">
      <c r="F499" s="2"/>
      <c r="H499" s="3"/>
    </row>
    <row r="500" spans="6:8" ht="12.5" x14ac:dyDescent="0.25">
      <c r="F500" s="2"/>
      <c r="H500" s="3"/>
    </row>
    <row r="501" spans="6:8" ht="12.5" x14ac:dyDescent="0.25">
      <c r="F501" s="2"/>
      <c r="H501" s="3"/>
    </row>
    <row r="502" spans="6:8" ht="12.5" x14ac:dyDescent="0.25">
      <c r="F502" s="2"/>
      <c r="H502" s="3"/>
    </row>
    <row r="503" spans="6:8" ht="12.5" x14ac:dyDescent="0.25">
      <c r="F503" s="2"/>
      <c r="H503" s="3"/>
    </row>
    <row r="504" spans="6:8" ht="12.5" x14ac:dyDescent="0.25">
      <c r="F504" s="2"/>
      <c r="H504" s="3"/>
    </row>
    <row r="505" spans="6:8" ht="12.5" x14ac:dyDescent="0.25">
      <c r="F505" s="2"/>
      <c r="H505" s="3"/>
    </row>
    <row r="506" spans="6:8" ht="12.5" x14ac:dyDescent="0.25">
      <c r="F506" s="2"/>
      <c r="H506" s="3"/>
    </row>
    <row r="507" spans="6:8" ht="12.5" x14ac:dyDescent="0.25">
      <c r="F507" s="2"/>
      <c r="H507" s="3"/>
    </row>
    <row r="508" spans="6:8" ht="12.5" x14ac:dyDescent="0.25">
      <c r="F508" s="2"/>
      <c r="H508" s="3"/>
    </row>
    <row r="509" spans="6:8" ht="12.5" x14ac:dyDescent="0.25">
      <c r="F509" s="2"/>
      <c r="H509" s="3"/>
    </row>
    <row r="510" spans="6:8" ht="12.5" x14ac:dyDescent="0.25">
      <c r="F510" s="2"/>
      <c r="H510" s="3"/>
    </row>
    <row r="511" spans="6:8" ht="12.5" x14ac:dyDescent="0.25">
      <c r="F511" s="2"/>
      <c r="H511" s="3"/>
    </row>
    <row r="512" spans="6:8" ht="12.5" x14ac:dyDescent="0.25">
      <c r="F512" s="2"/>
      <c r="H512" s="3"/>
    </row>
    <row r="513" spans="6:8" ht="12.5" x14ac:dyDescent="0.25">
      <c r="F513" s="2"/>
      <c r="H513" s="3"/>
    </row>
    <row r="514" spans="6:8" ht="12.5" x14ac:dyDescent="0.25">
      <c r="F514" s="2"/>
      <c r="H514" s="3"/>
    </row>
    <row r="515" spans="6:8" ht="12.5" x14ac:dyDescent="0.25">
      <c r="F515" s="2"/>
      <c r="H515" s="3"/>
    </row>
    <row r="516" spans="6:8" ht="12.5" x14ac:dyDescent="0.25">
      <c r="F516" s="2"/>
      <c r="H516" s="3"/>
    </row>
    <row r="517" spans="6:8" ht="12.5" x14ac:dyDescent="0.25">
      <c r="F517" s="2"/>
      <c r="H517" s="3"/>
    </row>
    <row r="518" spans="6:8" ht="12.5" x14ac:dyDescent="0.25">
      <c r="F518" s="2"/>
      <c r="H518" s="3"/>
    </row>
    <row r="519" spans="6:8" ht="12.5" x14ac:dyDescent="0.25">
      <c r="F519" s="2"/>
      <c r="H519" s="3"/>
    </row>
    <row r="520" spans="6:8" ht="12.5" x14ac:dyDescent="0.25">
      <c r="F520" s="2"/>
      <c r="H520" s="3"/>
    </row>
    <row r="521" spans="6:8" ht="12.5" x14ac:dyDescent="0.25">
      <c r="F521" s="2"/>
      <c r="H521" s="3"/>
    </row>
    <row r="522" spans="6:8" ht="12.5" x14ac:dyDescent="0.25">
      <c r="F522" s="2"/>
      <c r="H522" s="3"/>
    </row>
    <row r="523" spans="6:8" ht="12.5" x14ac:dyDescent="0.25">
      <c r="F523" s="2"/>
      <c r="H523" s="3"/>
    </row>
    <row r="524" spans="6:8" ht="12.5" x14ac:dyDescent="0.25">
      <c r="F524" s="2"/>
      <c r="H524" s="3"/>
    </row>
    <row r="525" spans="6:8" ht="12.5" x14ac:dyDescent="0.25">
      <c r="F525" s="2"/>
      <c r="H525" s="3"/>
    </row>
    <row r="526" spans="6:8" ht="12.5" x14ac:dyDescent="0.25">
      <c r="F526" s="2"/>
      <c r="H526" s="3"/>
    </row>
    <row r="527" spans="6:8" ht="12.5" x14ac:dyDescent="0.25">
      <c r="F527" s="2"/>
      <c r="H527" s="3"/>
    </row>
    <row r="528" spans="6:8" ht="12.5" x14ac:dyDescent="0.25">
      <c r="F528" s="2"/>
      <c r="H528" s="3"/>
    </row>
    <row r="529" spans="6:8" ht="12.5" x14ac:dyDescent="0.25">
      <c r="F529" s="2"/>
      <c r="H529" s="3"/>
    </row>
    <row r="530" spans="6:8" ht="12.5" x14ac:dyDescent="0.25">
      <c r="F530" s="2"/>
      <c r="H530" s="3"/>
    </row>
    <row r="531" spans="6:8" ht="12.5" x14ac:dyDescent="0.25">
      <c r="F531" s="2"/>
      <c r="H531" s="3"/>
    </row>
    <row r="532" spans="6:8" ht="12.5" x14ac:dyDescent="0.25">
      <c r="F532" s="2"/>
      <c r="H532" s="3"/>
    </row>
    <row r="533" spans="6:8" ht="12.5" x14ac:dyDescent="0.25">
      <c r="F533" s="2"/>
      <c r="H533" s="3"/>
    </row>
    <row r="534" spans="6:8" ht="12.5" x14ac:dyDescent="0.25">
      <c r="F534" s="2"/>
      <c r="H534" s="3"/>
    </row>
    <row r="535" spans="6:8" ht="12.5" x14ac:dyDescent="0.25">
      <c r="F535" s="2"/>
      <c r="H535" s="3"/>
    </row>
    <row r="536" spans="6:8" ht="12.5" x14ac:dyDescent="0.25">
      <c r="F536" s="2"/>
      <c r="H536" s="3"/>
    </row>
    <row r="537" spans="6:8" ht="12.5" x14ac:dyDescent="0.25">
      <c r="F537" s="2"/>
      <c r="H537" s="3"/>
    </row>
    <row r="538" spans="6:8" ht="12.5" x14ac:dyDescent="0.25">
      <c r="F538" s="2"/>
      <c r="H538" s="3"/>
    </row>
    <row r="539" spans="6:8" ht="12.5" x14ac:dyDescent="0.25">
      <c r="F539" s="2"/>
      <c r="H539" s="3"/>
    </row>
    <row r="540" spans="6:8" ht="12.5" x14ac:dyDescent="0.25">
      <c r="F540" s="2"/>
      <c r="H540" s="3"/>
    </row>
    <row r="541" spans="6:8" ht="12.5" x14ac:dyDescent="0.25">
      <c r="F541" s="2"/>
      <c r="H541" s="3"/>
    </row>
    <row r="542" spans="6:8" ht="12.5" x14ac:dyDescent="0.25">
      <c r="F542" s="2"/>
      <c r="H542" s="3"/>
    </row>
    <row r="543" spans="6:8" ht="12.5" x14ac:dyDescent="0.25">
      <c r="F543" s="2"/>
      <c r="H543" s="3"/>
    </row>
    <row r="544" spans="6:8" ht="12.5" x14ac:dyDescent="0.25">
      <c r="F544" s="2"/>
      <c r="H544" s="3"/>
    </row>
    <row r="545" spans="6:8" ht="12.5" x14ac:dyDescent="0.25">
      <c r="F545" s="2"/>
      <c r="H545" s="3"/>
    </row>
    <row r="546" spans="6:8" ht="12.5" x14ac:dyDescent="0.25">
      <c r="F546" s="2"/>
      <c r="H546" s="3"/>
    </row>
    <row r="547" spans="6:8" ht="12.5" x14ac:dyDescent="0.25">
      <c r="F547" s="2"/>
      <c r="H547" s="3"/>
    </row>
    <row r="548" spans="6:8" ht="12.5" x14ac:dyDescent="0.25">
      <c r="F548" s="2"/>
      <c r="H548" s="3"/>
    </row>
    <row r="549" spans="6:8" ht="12.5" x14ac:dyDescent="0.25">
      <c r="F549" s="2"/>
      <c r="H549" s="3"/>
    </row>
    <row r="550" spans="6:8" ht="12.5" x14ac:dyDescent="0.25">
      <c r="F550" s="2"/>
      <c r="H550" s="3"/>
    </row>
    <row r="551" spans="6:8" ht="12.5" x14ac:dyDescent="0.25">
      <c r="F551" s="2"/>
      <c r="H551" s="3"/>
    </row>
    <row r="552" spans="6:8" ht="12.5" x14ac:dyDescent="0.25">
      <c r="F552" s="2"/>
      <c r="H552" s="3"/>
    </row>
    <row r="553" spans="6:8" ht="12.5" x14ac:dyDescent="0.25">
      <c r="F553" s="2"/>
      <c r="H553" s="3"/>
    </row>
    <row r="554" spans="6:8" ht="12.5" x14ac:dyDescent="0.25">
      <c r="F554" s="2"/>
      <c r="H554" s="3"/>
    </row>
    <row r="555" spans="6:8" ht="12.5" x14ac:dyDescent="0.25">
      <c r="F555" s="2"/>
      <c r="H555" s="3"/>
    </row>
    <row r="556" spans="6:8" ht="12.5" x14ac:dyDescent="0.25">
      <c r="F556" s="2"/>
      <c r="H556" s="3"/>
    </row>
    <row r="557" spans="6:8" ht="12.5" x14ac:dyDescent="0.25">
      <c r="F557" s="2"/>
      <c r="H557" s="3"/>
    </row>
    <row r="558" spans="6:8" ht="12.5" x14ac:dyDescent="0.25">
      <c r="F558" s="2"/>
      <c r="H558" s="3"/>
    </row>
    <row r="559" spans="6:8" ht="12.5" x14ac:dyDescent="0.25">
      <c r="F559" s="2"/>
      <c r="H559" s="3"/>
    </row>
    <row r="560" spans="6:8" ht="12.5" x14ac:dyDescent="0.25">
      <c r="F560" s="2"/>
      <c r="H560" s="3"/>
    </row>
    <row r="561" spans="6:8" ht="12.5" x14ac:dyDescent="0.25">
      <c r="F561" s="2"/>
      <c r="H561" s="3"/>
    </row>
    <row r="562" spans="6:8" ht="12.5" x14ac:dyDescent="0.25">
      <c r="F562" s="2"/>
      <c r="H562" s="3"/>
    </row>
    <row r="563" spans="6:8" ht="12.5" x14ac:dyDescent="0.25">
      <c r="F563" s="2"/>
      <c r="H563" s="3"/>
    </row>
    <row r="564" spans="6:8" ht="12.5" x14ac:dyDescent="0.25">
      <c r="F564" s="2"/>
      <c r="H564" s="3"/>
    </row>
    <row r="565" spans="6:8" ht="12.5" x14ac:dyDescent="0.25">
      <c r="F565" s="2"/>
      <c r="H565" s="3"/>
    </row>
    <row r="566" spans="6:8" ht="12.5" x14ac:dyDescent="0.25">
      <c r="F566" s="2"/>
      <c r="H566" s="3"/>
    </row>
    <row r="567" spans="6:8" ht="12.5" x14ac:dyDescent="0.25">
      <c r="F567" s="2"/>
      <c r="H567" s="3"/>
    </row>
    <row r="568" spans="6:8" ht="12.5" x14ac:dyDescent="0.25">
      <c r="F568" s="2"/>
      <c r="H568" s="3"/>
    </row>
    <row r="569" spans="6:8" ht="12.5" x14ac:dyDescent="0.25">
      <c r="F569" s="2"/>
      <c r="H569" s="3"/>
    </row>
    <row r="570" spans="6:8" ht="12.5" x14ac:dyDescent="0.25">
      <c r="F570" s="2"/>
      <c r="H570" s="3"/>
    </row>
    <row r="571" spans="6:8" ht="12.5" x14ac:dyDescent="0.25">
      <c r="F571" s="2"/>
      <c r="H571" s="3"/>
    </row>
    <row r="572" spans="6:8" ht="12.5" x14ac:dyDescent="0.25">
      <c r="F572" s="2"/>
      <c r="H572" s="3"/>
    </row>
    <row r="573" spans="6:8" ht="12.5" x14ac:dyDescent="0.25">
      <c r="F573" s="2"/>
      <c r="H573" s="3"/>
    </row>
    <row r="574" spans="6:8" ht="12.5" x14ac:dyDescent="0.25">
      <c r="F574" s="2"/>
      <c r="H574" s="3"/>
    </row>
    <row r="575" spans="6:8" ht="12.5" x14ac:dyDescent="0.25">
      <c r="F575" s="2"/>
      <c r="H575" s="3"/>
    </row>
    <row r="576" spans="6:8" ht="12.5" x14ac:dyDescent="0.25">
      <c r="F576" s="2"/>
      <c r="H576" s="3"/>
    </row>
    <row r="577" spans="6:8" ht="12.5" x14ac:dyDescent="0.25">
      <c r="F577" s="2"/>
      <c r="H577" s="3"/>
    </row>
    <row r="578" spans="6:8" ht="12.5" x14ac:dyDescent="0.25">
      <c r="F578" s="2"/>
      <c r="H578" s="3"/>
    </row>
    <row r="579" spans="6:8" ht="12.5" x14ac:dyDescent="0.25">
      <c r="F579" s="2"/>
      <c r="H579" s="3"/>
    </row>
    <row r="580" spans="6:8" ht="12.5" x14ac:dyDescent="0.25">
      <c r="F580" s="2"/>
      <c r="H580" s="3"/>
    </row>
    <row r="581" spans="6:8" ht="12.5" x14ac:dyDescent="0.25">
      <c r="F581" s="2"/>
      <c r="H581" s="3"/>
    </row>
    <row r="582" spans="6:8" ht="12.5" x14ac:dyDescent="0.25">
      <c r="F582" s="2"/>
      <c r="H582" s="3"/>
    </row>
    <row r="583" spans="6:8" ht="12.5" x14ac:dyDescent="0.25">
      <c r="F583" s="2"/>
      <c r="H583" s="3"/>
    </row>
    <row r="584" spans="6:8" ht="12.5" x14ac:dyDescent="0.25">
      <c r="F584" s="2"/>
      <c r="H584" s="3"/>
    </row>
    <row r="585" spans="6:8" ht="12.5" x14ac:dyDescent="0.25">
      <c r="F585" s="2"/>
      <c r="H585" s="3"/>
    </row>
    <row r="586" spans="6:8" ht="12.5" x14ac:dyDescent="0.25">
      <c r="F586" s="2"/>
      <c r="H586" s="3"/>
    </row>
    <row r="587" spans="6:8" ht="12.5" x14ac:dyDescent="0.25">
      <c r="F587" s="2"/>
      <c r="H587" s="3"/>
    </row>
    <row r="588" spans="6:8" ht="12.5" x14ac:dyDescent="0.25">
      <c r="F588" s="2"/>
      <c r="H588" s="3"/>
    </row>
    <row r="589" spans="6:8" ht="12.5" x14ac:dyDescent="0.25">
      <c r="F589" s="2"/>
      <c r="H589" s="3"/>
    </row>
    <row r="590" spans="6:8" ht="12.5" x14ac:dyDescent="0.25">
      <c r="F590" s="2"/>
      <c r="H590" s="3"/>
    </row>
    <row r="591" spans="6:8" ht="12.5" x14ac:dyDescent="0.25">
      <c r="F591" s="2"/>
      <c r="H591" s="3"/>
    </row>
    <row r="592" spans="6:8" ht="12.5" x14ac:dyDescent="0.25">
      <c r="F592" s="2"/>
      <c r="H592" s="3"/>
    </row>
    <row r="593" spans="6:8" ht="12.5" x14ac:dyDescent="0.25">
      <c r="F593" s="2"/>
      <c r="H593" s="3"/>
    </row>
    <row r="594" spans="6:8" ht="12.5" x14ac:dyDescent="0.25">
      <c r="F594" s="2"/>
      <c r="H594" s="3"/>
    </row>
    <row r="595" spans="6:8" ht="12.5" x14ac:dyDescent="0.25">
      <c r="F595" s="2"/>
      <c r="H595" s="3"/>
    </row>
    <row r="596" spans="6:8" ht="12.5" x14ac:dyDescent="0.25">
      <c r="F596" s="2"/>
      <c r="H596" s="3"/>
    </row>
    <row r="597" spans="6:8" ht="12.5" x14ac:dyDescent="0.25">
      <c r="F597" s="2"/>
      <c r="H597" s="3"/>
    </row>
    <row r="598" spans="6:8" ht="12.5" x14ac:dyDescent="0.25">
      <c r="F598" s="2"/>
      <c r="H598" s="3"/>
    </row>
    <row r="599" spans="6:8" ht="12.5" x14ac:dyDescent="0.25">
      <c r="F599" s="2"/>
      <c r="H599" s="3"/>
    </row>
    <row r="600" spans="6:8" ht="12.5" x14ac:dyDescent="0.25">
      <c r="F600" s="2"/>
      <c r="H600" s="3"/>
    </row>
    <row r="601" spans="6:8" ht="12.5" x14ac:dyDescent="0.25">
      <c r="F601" s="2"/>
      <c r="H601" s="3"/>
    </row>
    <row r="602" spans="6:8" ht="12.5" x14ac:dyDescent="0.25">
      <c r="F602" s="2"/>
      <c r="H602" s="3"/>
    </row>
    <row r="603" spans="6:8" ht="12.5" x14ac:dyDescent="0.25">
      <c r="F603" s="2"/>
      <c r="H603" s="3"/>
    </row>
    <row r="604" spans="6:8" ht="12.5" x14ac:dyDescent="0.25">
      <c r="F604" s="2"/>
      <c r="H604" s="3"/>
    </row>
    <row r="605" spans="6:8" ht="12.5" x14ac:dyDescent="0.25">
      <c r="F605" s="2"/>
      <c r="H605" s="3"/>
    </row>
    <row r="606" spans="6:8" ht="12.5" x14ac:dyDescent="0.25">
      <c r="F606" s="2"/>
      <c r="H606" s="3"/>
    </row>
    <row r="607" spans="6:8" ht="12.5" x14ac:dyDescent="0.25">
      <c r="F607" s="2"/>
      <c r="H607" s="3"/>
    </row>
    <row r="608" spans="6:8" ht="12.5" x14ac:dyDescent="0.25">
      <c r="F608" s="2"/>
      <c r="H608" s="3"/>
    </row>
    <row r="609" spans="6:8" ht="12.5" x14ac:dyDescent="0.25">
      <c r="F609" s="2"/>
      <c r="H609" s="3"/>
    </row>
    <row r="610" spans="6:8" ht="12.5" x14ac:dyDescent="0.25">
      <c r="F610" s="2"/>
      <c r="H610" s="3"/>
    </row>
    <row r="611" spans="6:8" ht="12.5" x14ac:dyDescent="0.25">
      <c r="F611" s="2"/>
      <c r="H611" s="3"/>
    </row>
    <row r="612" spans="6:8" ht="12.5" x14ac:dyDescent="0.25">
      <c r="F612" s="2"/>
      <c r="H612" s="3"/>
    </row>
    <row r="613" spans="6:8" ht="12.5" x14ac:dyDescent="0.25">
      <c r="F613" s="2"/>
      <c r="H613" s="3"/>
    </row>
    <row r="614" spans="6:8" ht="12.5" x14ac:dyDescent="0.25">
      <c r="F614" s="2"/>
      <c r="H614" s="3"/>
    </row>
    <row r="615" spans="6:8" ht="12.5" x14ac:dyDescent="0.25">
      <c r="F615" s="2"/>
      <c r="H615" s="3"/>
    </row>
    <row r="616" spans="6:8" ht="12.5" x14ac:dyDescent="0.25">
      <c r="F616" s="2"/>
      <c r="H616" s="3"/>
    </row>
    <row r="617" spans="6:8" ht="12.5" x14ac:dyDescent="0.25">
      <c r="F617" s="2"/>
      <c r="H617" s="3"/>
    </row>
    <row r="618" spans="6:8" ht="12.5" x14ac:dyDescent="0.25">
      <c r="F618" s="2"/>
      <c r="H618" s="3"/>
    </row>
    <row r="619" spans="6:8" ht="12.5" x14ac:dyDescent="0.25">
      <c r="F619" s="2"/>
      <c r="H619" s="3"/>
    </row>
    <row r="620" spans="6:8" ht="12.5" x14ac:dyDescent="0.25">
      <c r="F620" s="2"/>
      <c r="H620" s="3"/>
    </row>
    <row r="621" spans="6:8" ht="12.5" x14ac:dyDescent="0.25">
      <c r="F621" s="2"/>
      <c r="H621" s="3"/>
    </row>
    <row r="622" spans="6:8" ht="12.5" x14ac:dyDescent="0.25">
      <c r="F622" s="2"/>
      <c r="H622" s="3"/>
    </row>
    <row r="623" spans="6:8" ht="12.5" x14ac:dyDescent="0.25">
      <c r="F623" s="2"/>
      <c r="H623" s="3"/>
    </row>
    <row r="624" spans="6:8" ht="12.5" x14ac:dyDescent="0.25">
      <c r="F624" s="2"/>
      <c r="H624" s="3"/>
    </row>
    <row r="625" spans="6:8" ht="12.5" x14ac:dyDescent="0.25">
      <c r="F625" s="2"/>
      <c r="H625" s="3"/>
    </row>
    <row r="626" spans="6:8" ht="12.5" x14ac:dyDescent="0.25">
      <c r="F626" s="2"/>
      <c r="H626" s="3"/>
    </row>
    <row r="627" spans="6:8" ht="12.5" x14ac:dyDescent="0.25">
      <c r="F627" s="2"/>
      <c r="H627" s="3"/>
    </row>
    <row r="628" spans="6:8" ht="12.5" x14ac:dyDescent="0.25">
      <c r="F628" s="2"/>
      <c r="H628" s="3"/>
    </row>
    <row r="629" spans="6:8" ht="12.5" x14ac:dyDescent="0.25">
      <c r="F629" s="2"/>
      <c r="H629" s="3"/>
    </row>
    <row r="630" spans="6:8" ht="12.5" x14ac:dyDescent="0.25">
      <c r="F630" s="2"/>
      <c r="H630" s="3"/>
    </row>
    <row r="631" spans="6:8" ht="12.5" x14ac:dyDescent="0.25">
      <c r="F631" s="2"/>
      <c r="H631" s="3"/>
    </row>
    <row r="632" spans="6:8" ht="12.5" x14ac:dyDescent="0.25">
      <c r="F632" s="2"/>
      <c r="H632" s="3"/>
    </row>
    <row r="633" spans="6:8" ht="12.5" x14ac:dyDescent="0.25">
      <c r="F633" s="2"/>
      <c r="H633" s="3"/>
    </row>
    <row r="634" spans="6:8" ht="12.5" x14ac:dyDescent="0.25">
      <c r="F634" s="2"/>
      <c r="H634" s="3"/>
    </row>
    <row r="635" spans="6:8" ht="12.5" x14ac:dyDescent="0.25">
      <c r="F635" s="2"/>
      <c r="H635" s="3"/>
    </row>
    <row r="636" spans="6:8" ht="12.5" x14ac:dyDescent="0.25">
      <c r="F636" s="2"/>
      <c r="H636" s="3"/>
    </row>
    <row r="637" spans="6:8" ht="12.5" x14ac:dyDescent="0.25">
      <c r="F637" s="2"/>
      <c r="H637" s="3"/>
    </row>
    <row r="638" spans="6:8" ht="12.5" x14ac:dyDescent="0.25">
      <c r="F638" s="2"/>
      <c r="H638" s="3"/>
    </row>
    <row r="639" spans="6:8" ht="12.5" x14ac:dyDescent="0.25">
      <c r="F639" s="2"/>
      <c r="H639" s="3"/>
    </row>
    <row r="640" spans="6:8" ht="12.5" x14ac:dyDescent="0.25">
      <c r="F640" s="2"/>
      <c r="H640" s="3"/>
    </row>
    <row r="641" spans="6:8" ht="12.5" x14ac:dyDescent="0.25">
      <c r="F641" s="2"/>
      <c r="H641" s="3"/>
    </row>
    <row r="642" spans="6:8" ht="12.5" x14ac:dyDescent="0.25">
      <c r="F642" s="2"/>
      <c r="H642" s="3"/>
    </row>
    <row r="643" spans="6:8" ht="12.5" x14ac:dyDescent="0.25">
      <c r="F643" s="2"/>
      <c r="H643" s="3"/>
    </row>
    <row r="644" spans="6:8" ht="12.5" x14ac:dyDescent="0.25">
      <c r="F644" s="2"/>
      <c r="H644" s="3"/>
    </row>
    <row r="645" spans="6:8" ht="12.5" x14ac:dyDescent="0.25">
      <c r="F645" s="2"/>
      <c r="H645" s="3"/>
    </row>
    <row r="646" spans="6:8" ht="12.5" x14ac:dyDescent="0.25">
      <c r="F646" s="2"/>
      <c r="H646" s="3"/>
    </row>
    <row r="647" spans="6:8" ht="12.5" x14ac:dyDescent="0.25">
      <c r="F647" s="2"/>
      <c r="H647" s="3"/>
    </row>
    <row r="648" spans="6:8" ht="12.5" x14ac:dyDescent="0.25">
      <c r="F648" s="2"/>
      <c r="H648" s="3"/>
    </row>
    <row r="649" spans="6:8" ht="12.5" x14ac:dyDescent="0.25">
      <c r="F649" s="2"/>
      <c r="H649" s="3"/>
    </row>
    <row r="650" spans="6:8" ht="12.5" x14ac:dyDescent="0.25">
      <c r="F650" s="2"/>
      <c r="H650" s="3"/>
    </row>
    <row r="651" spans="6:8" ht="12.5" x14ac:dyDescent="0.25">
      <c r="F651" s="2"/>
      <c r="H651" s="3"/>
    </row>
    <row r="652" spans="6:8" ht="12.5" x14ac:dyDescent="0.25">
      <c r="F652" s="2"/>
      <c r="H652" s="3"/>
    </row>
    <row r="653" spans="6:8" ht="12.5" x14ac:dyDescent="0.25">
      <c r="F653" s="2"/>
      <c r="H653" s="3"/>
    </row>
    <row r="654" spans="6:8" ht="12.5" x14ac:dyDescent="0.25">
      <c r="F654" s="2"/>
      <c r="H654" s="3"/>
    </row>
    <row r="655" spans="6:8" ht="12.5" x14ac:dyDescent="0.25">
      <c r="F655" s="2"/>
      <c r="H655" s="3"/>
    </row>
    <row r="656" spans="6:8" ht="12.5" x14ac:dyDescent="0.25">
      <c r="F656" s="2"/>
      <c r="H656" s="3"/>
    </row>
    <row r="657" spans="6:8" ht="12.5" x14ac:dyDescent="0.25">
      <c r="F657" s="2"/>
      <c r="H657" s="3"/>
    </row>
    <row r="658" spans="6:8" ht="12.5" x14ac:dyDescent="0.25">
      <c r="F658" s="2"/>
      <c r="H658" s="3"/>
    </row>
    <row r="659" spans="6:8" ht="12.5" x14ac:dyDescent="0.25">
      <c r="F659" s="2"/>
      <c r="H659" s="3"/>
    </row>
    <row r="660" spans="6:8" ht="12.5" x14ac:dyDescent="0.25">
      <c r="F660" s="2"/>
      <c r="H660" s="3"/>
    </row>
    <row r="661" spans="6:8" ht="12.5" x14ac:dyDescent="0.25">
      <c r="F661" s="2"/>
      <c r="H661" s="3"/>
    </row>
    <row r="662" spans="6:8" ht="12.5" x14ac:dyDescent="0.25">
      <c r="F662" s="2"/>
      <c r="H662" s="3"/>
    </row>
    <row r="663" spans="6:8" ht="12.5" x14ac:dyDescent="0.25">
      <c r="F663" s="2"/>
      <c r="H663" s="3"/>
    </row>
    <row r="664" spans="6:8" ht="12.5" x14ac:dyDescent="0.25">
      <c r="F664" s="2"/>
      <c r="H664" s="3"/>
    </row>
    <row r="665" spans="6:8" ht="12.5" x14ac:dyDescent="0.25">
      <c r="F665" s="2"/>
      <c r="H665" s="3"/>
    </row>
    <row r="666" spans="6:8" ht="12.5" x14ac:dyDescent="0.25">
      <c r="F666" s="2"/>
      <c r="H666" s="3"/>
    </row>
    <row r="667" spans="6:8" ht="12.5" x14ac:dyDescent="0.25">
      <c r="F667" s="2"/>
      <c r="H667" s="3"/>
    </row>
    <row r="668" spans="6:8" ht="12.5" x14ac:dyDescent="0.25">
      <c r="F668" s="2"/>
      <c r="H668" s="3"/>
    </row>
    <row r="669" spans="6:8" ht="12.5" x14ac:dyDescent="0.25">
      <c r="F669" s="2"/>
      <c r="H669" s="3"/>
    </row>
    <row r="670" spans="6:8" ht="12.5" x14ac:dyDescent="0.25">
      <c r="F670" s="2"/>
      <c r="H670" s="3"/>
    </row>
    <row r="671" spans="6:8" ht="12.5" x14ac:dyDescent="0.25">
      <c r="F671" s="2"/>
      <c r="H671" s="3"/>
    </row>
    <row r="672" spans="6:8" ht="12.5" x14ac:dyDescent="0.25">
      <c r="F672" s="2"/>
      <c r="H672" s="3"/>
    </row>
    <row r="673" spans="6:8" ht="12.5" x14ac:dyDescent="0.25">
      <c r="F673" s="2"/>
      <c r="H673" s="3"/>
    </row>
    <row r="674" spans="6:8" ht="12.5" x14ac:dyDescent="0.25">
      <c r="F674" s="2"/>
      <c r="H674" s="3"/>
    </row>
    <row r="675" spans="6:8" ht="12.5" x14ac:dyDescent="0.25">
      <c r="F675" s="2"/>
      <c r="H675" s="3"/>
    </row>
    <row r="676" spans="6:8" ht="12.5" x14ac:dyDescent="0.25">
      <c r="F676" s="2"/>
      <c r="H676" s="3"/>
    </row>
    <row r="677" spans="6:8" ht="12.5" x14ac:dyDescent="0.25">
      <c r="F677" s="2"/>
      <c r="H677" s="3"/>
    </row>
    <row r="678" spans="6:8" ht="12.5" x14ac:dyDescent="0.25">
      <c r="F678" s="2"/>
      <c r="H678" s="3"/>
    </row>
    <row r="679" spans="6:8" ht="12.5" x14ac:dyDescent="0.25">
      <c r="F679" s="2"/>
      <c r="H679" s="3"/>
    </row>
    <row r="680" spans="6:8" ht="12.5" x14ac:dyDescent="0.25">
      <c r="F680" s="2"/>
      <c r="H680" s="3"/>
    </row>
    <row r="681" spans="6:8" ht="12.5" x14ac:dyDescent="0.25">
      <c r="F681" s="2"/>
      <c r="H681" s="3"/>
    </row>
    <row r="682" spans="6:8" ht="12.5" x14ac:dyDescent="0.25">
      <c r="F682" s="2"/>
      <c r="H682" s="3"/>
    </row>
    <row r="683" spans="6:8" ht="12.5" x14ac:dyDescent="0.25">
      <c r="F683" s="2"/>
      <c r="H683" s="3"/>
    </row>
    <row r="684" spans="6:8" ht="12.5" x14ac:dyDescent="0.25">
      <c r="F684" s="2"/>
      <c r="H684" s="3"/>
    </row>
    <row r="685" spans="6:8" ht="12.5" x14ac:dyDescent="0.25">
      <c r="F685" s="2"/>
      <c r="H685" s="3"/>
    </row>
    <row r="686" spans="6:8" ht="12.5" x14ac:dyDescent="0.25">
      <c r="F686" s="2"/>
      <c r="H686" s="3"/>
    </row>
    <row r="687" spans="6:8" ht="12.5" x14ac:dyDescent="0.25">
      <c r="F687" s="2"/>
      <c r="H687" s="3"/>
    </row>
    <row r="688" spans="6:8" ht="12.5" x14ac:dyDescent="0.25">
      <c r="F688" s="2"/>
      <c r="H688" s="3"/>
    </row>
    <row r="689" spans="6:8" ht="12.5" x14ac:dyDescent="0.25">
      <c r="F689" s="2"/>
      <c r="H689" s="3"/>
    </row>
    <row r="690" spans="6:8" ht="12.5" x14ac:dyDescent="0.25">
      <c r="F690" s="2"/>
      <c r="H690" s="3"/>
    </row>
    <row r="691" spans="6:8" ht="12.5" x14ac:dyDescent="0.25">
      <c r="F691" s="2"/>
      <c r="H691" s="3"/>
    </row>
    <row r="692" spans="6:8" ht="12.5" x14ac:dyDescent="0.25">
      <c r="F692" s="2"/>
      <c r="H692" s="3"/>
    </row>
    <row r="693" spans="6:8" ht="12.5" x14ac:dyDescent="0.25">
      <c r="F693" s="2"/>
      <c r="H693" s="3"/>
    </row>
    <row r="694" spans="6:8" ht="12.5" x14ac:dyDescent="0.25">
      <c r="F694" s="2"/>
      <c r="H694" s="3"/>
    </row>
    <row r="695" spans="6:8" ht="12.5" x14ac:dyDescent="0.25">
      <c r="F695" s="2"/>
      <c r="H695" s="3"/>
    </row>
    <row r="696" spans="6:8" ht="12.5" x14ac:dyDescent="0.25">
      <c r="F696" s="2"/>
      <c r="H696" s="3"/>
    </row>
    <row r="697" spans="6:8" ht="12.5" x14ac:dyDescent="0.25">
      <c r="F697" s="2"/>
      <c r="H697" s="3"/>
    </row>
    <row r="698" spans="6:8" ht="12.5" x14ac:dyDescent="0.25">
      <c r="F698" s="2"/>
      <c r="H698" s="3"/>
    </row>
    <row r="699" spans="6:8" ht="12.5" x14ac:dyDescent="0.25">
      <c r="F699" s="2"/>
      <c r="H699" s="3"/>
    </row>
    <row r="700" spans="6:8" ht="12.5" x14ac:dyDescent="0.25">
      <c r="F700" s="2"/>
      <c r="H700" s="3"/>
    </row>
    <row r="701" spans="6:8" ht="12.5" x14ac:dyDescent="0.25">
      <c r="F701" s="2"/>
      <c r="H701" s="3"/>
    </row>
    <row r="702" spans="6:8" ht="12.5" x14ac:dyDescent="0.25">
      <c r="F702" s="2"/>
      <c r="H702" s="3"/>
    </row>
    <row r="703" spans="6:8" ht="12.5" x14ac:dyDescent="0.25">
      <c r="F703" s="2"/>
      <c r="H703" s="3"/>
    </row>
    <row r="704" spans="6:8" ht="12.5" x14ac:dyDescent="0.25">
      <c r="F704" s="2"/>
      <c r="H704" s="3"/>
    </row>
    <row r="705" spans="6:8" ht="12.5" x14ac:dyDescent="0.25">
      <c r="F705" s="2"/>
      <c r="H705" s="3"/>
    </row>
    <row r="706" spans="6:8" ht="12.5" x14ac:dyDescent="0.25">
      <c r="F706" s="2"/>
      <c r="H706" s="3"/>
    </row>
    <row r="707" spans="6:8" ht="12.5" x14ac:dyDescent="0.25">
      <c r="F707" s="2"/>
      <c r="H707" s="3"/>
    </row>
    <row r="708" spans="6:8" ht="12.5" x14ac:dyDescent="0.25">
      <c r="F708" s="2"/>
      <c r="H708" s="3"/>
    </row>
    <row r="709" spans="6:8" ht="12.5" x14ac:dyDescent="0.25">
      <c r="F709" s="2"/>
      <c r="H709" s="3"/>
    </row>
    <row r="710" spans="6:8" ht="12.5" x14ac:dyDescent="0.25">
      <c r="F710" s="2"/>
      <c r="H710" s="3"/>
    </row>
    <row r="711" spans="6:8" ht="12.5" x14ac:dyDescent="0.25">
      <c r="F711" s="2"/>
      <c r="H711" s="3"/>
    </row>
    <row r="712" spans="6:8" ht="12.5" x14ac:dyDescent="0.25">
      <c r="F712" s="2"/>
      <c r="H712" s="3"/>
    </row>
    <row r="713" spans="6:8" ht="12.5" x14ac:dyDescent="0.25">
      <c r="F713" s="2"/>
      <c r="H713" s="3"/>
    </row>
    <row r="714" spans="6:8" ht="12.5" x14ac:dyDescent="0.25">
      <c r="F714" s="2"/>
      <c r="H714" s="3"/>
    </row>
    <row r="715" spans="6:8" ht="12.5" x14ac:dyDescent="0.25">
      <c r="F715" s="2"/>
      <c r="H715" s="3"/>
    </row>
    <row r="716" spans="6:8" ht="12.5" x14ac:dyDescent="0.25">
      <c r="F716" s="2"/>
      <c r="H716" s="3"/>
    </row>
    <row r="717" spans="6:8" ht="12.5" x14ac:dyDescent="0.25">
      <c r="F717" s="2"/>
      <c r="H717" s="3"/>
    </row>
    <row r="718" spans="6:8" ht="12.5" x14ac:dyDescent="0.25">
      <c r="F718" s="2"/>
      <c r="H718" s="3"/>
    </row>
    <row r="719" spans="6:8" ht="12.5" x14ac:dyDescent="0.25">
      <c r="F719" s="2"/>
      <c r="H719" s="3"/>
    </row>
    <row r="720" spans="6:8" ht="12.5" x14ac:dyDescent="0.25">
      <c r="F720" s="2"/>
      <c r="H720" s="3"/>
    </row>
    <row r="721" spans="6:8" ht="12.5" x14ac:dyDescent="0.25">
      <c r="F721" s="2"/>
      <c r="H721" s="3"/>
    </row>
    <row r="722" spans="6:8" ht="12.5" x14ac:dyDescent="0.25">
      <c r="F722" s="2"/>
      <c r="H722" s="3"/>
    </row>
    <row r="723" spans="6:8" ht="12.5" x14ac:dyDescent="0.25">
      <c r="F723" s="2"/>
      <c r="H723" s="3"/>
    </row>
    <row r="724" spans="6:8" ht="12.5" x14ac:dyDescent="0.25">
      <c r="F724" s="2"/>
      <c r="H724" s="3"/>
    </row>
    <row r="725" spans="6:8" ht="12.5" x14ac:dyDescent="0.25">
      <c r="F725" s="2"/>
      <c r="H725" s="3"/>
    </row>
    <row r="726" spans="6:8" ht="12.5" x14ac:dyDescent="0.25">
      <c r="F726" s="2"/>
      <c r="H726" s="3"/>
    </row>
    <row r="727" spans="6:8" ht="12.5" x14ac:dyDescent="0.25">
      <c r="F727" s="2"/>
      <c r="H727" s="3"/>
    </row>
    <row r="728" spans="6:8" ht="12.5" x14ac:dyDescent="0.25">
      <c r="F728" s="2"/>
      <c r="H728" s="3"/>
    </row>
    <row r="729" spans="6:8" ht="12.5" x14ac:dyDescent="0.25">
      <c r="F729" s="2"/>
      <c r="H729" s="3"/>
    </row>
    <row r="730" spans="6:8" ht="12.5" x14ac:dyDescent="0.25">
      <c r="F730" s="2"/>
      <c r="H730" s="3"/>
    </row>
    <row r="731" spans="6:8" ht="12.5" x14ac:dyDescent="0.25">
      <c r="F731" s="2"/>
      <c r="H731" s="3"/>
    </row>
    <row r="732" spans="6:8" ht="12.5" x14ac:dyDescent="0.25">
      <c r="F732" s="2"/>
      <c r="H732" s="3"/>
    </row>
    <row r="733" spans="6:8" ht="12.5" x14ac:dyDescent="0.25">
      <c r="F733" s="2"/>
      <c r="H733" s="3"/>
    </row>
    <row r="734" spans="6:8" ht="12.5" x14ac:dyDescent="0.25">
      <c r="F734" s="2"/>
      <c r="H734" s="3"/>
    </row>
    <row r="735" spans="6:8" ht="12.5" x14ac:dyDescent="0.25">
      <c r="F735" s="2"/>
      <c r="H735" s="3"/>
    </row>
    <row r="736" spans="6:8" ht="12.5" x14ac:dyDescent="0.25">
      <c r="F736" s="2"/>
      <c r="H736" s="3"/>
    </row>
    <row r="737" spans="6:8" ht="12.5" x14ac:dyDescent="0.25">
      <c r="F737" s="2"/>
      <c r="H737" s="3"/>
    </row>
    <row r="738" spans="6:8" ht="12.5" x14ac:dyDescent="0.25">
      <c r="F738" s="2"/>
      <c r="H738" s="3"/>
    </row>
    <row r="739" spans="6:8" ht="12.5" x14ac:dyDescent="0.25">
      <c r="F739" s="2"/>
      <c r="H739" s="3"/>
    </row>
    <row r="740" spans="6:8" ht="12.5" x14ac:dyDescent="0.25">
      <c r="F740" s="2"/>
      <c r="H740" s="3"/>
    </row>
    <row r="741" spans="6:8" ht="12.5" x14ac:dyDescent="0.25">
      <c r="F741" s="2"/>
      <c r="H741" s="3"/>
    </row>
    <row r="742" spans="6:8" ht="12.5" x14ac:dyDescent="0.25">
      <c r="F742" s="2"/>
      <c r="H742" s="3"/>
    </row>
    <row r="743" spans="6:8" ht="12.5" x14ac:dyDescent="0.25">
      <c r="F743" s="2"/>
      <c r="H743" s="3"/>
    </row>
    <row r="744" spans="6:8" ht="12.5" x14ac:dyDescent="0.25">
      <c r="F744" s="2"/>
      <c r="H744" s="3"/>
    </row>
    <row r="745" spans="6:8" ht="12.5" x14ac:dyDescent="0.25">
      <c r="F745" s="2"/>
      <c r="H745" s="3"/>
    </row>
    <row r="746" spans="6:8" ht="12.5" x14ac:dyDescent="0.25">
      <c r="F746" s="2"/>
      <c r="H746" s="3"/>
    </row>
    <row r="747" spans="6:8" ht="12.5" x14ac:dyDescent="0.25">
      <c r="F747" s="2"/>
      <c r="H747" s="3"/>
    </row>
    <row r="748" spans="6:8" ht="12.5" x14ac:dyDescent="0.25">
      <c r="F748" s="2"/>
      <c r="H748" s="3"/>
    </row>
    <row r="749" spans="6:8" ht="12.5" x14ac:dyDescent="0.25">
      <c r="F749" s="2"/>
      <c r="H749" s="3"/>
    </row>
    <row r="750" spans="6:8" ht="12.5" x14ac:dyDescent="0.25">
      <c r="F750" s="2"/>
      <c r="H750" s="3"/>
    </row>
    <row r="751" spans="6:8" ht="12.5" x14ac:dyDescent="0.25">
      <c r="F751" s="2"/>
      <c r="H751" s="3"/>
    </row>
    <row r="752" spans="6:8" ht="12.5" x14ac:dyDescent="0.25">
      <c r="F752" s="2"/>
      <c r="H752" s="3"/>
    </row>
    <row r="753" spans="6:8" ht="12.5" x14ac:dyDescent="0.25">
      <c r="F753" s="2"/>
      <c r="H753" s="3"/>
    </row>
    <row r="754" spans="6:8" ht="12.5" x14ac:dyDescent="0.25">
      <c r="F754" s="2"/>
      <c r="H754" s="3"/>
    </row>
    <row r="755" spans="6:8" ht="12.5" x14ac:dyDescent="0.25">
      <c r="F755" s="2"/>
      <c r="H755" s="3"/>
    </row>
    <row r="756" spans="6:8" ht="12.5" x14ac:dyDescent="0.25">
      <c r="F756" s="2"/>
      <c r="H756" s="3"/>
    </row>
    <row r="757" spans="6:8" ht="12.5" x14ac:dyDescent="0.25">
      <c r="F757" s="2"/>
      <c r="H757" s="3"/>
    </row>
    <row r="758" spans="6:8" ht="12.5" x14ac:dyDescent="0.25">
      <c r="F758" s="2"/>
      <c r="H758" s="3"/>
    </row>
    <row r="759" spans="6:8" ht="12.5" x14ac:dyDescent="0.25">
      <c r="F759" s="2"/>
      <c r="H759" s="3"/>
    </row>
    <row r="760" spans="6:8" ht="12.5" x14ac:dyDescent="0.25">
      <c r="F760" s="2"/>
      <c r="H760" s="3"/>
    </row>
    <row r="761" spans="6:8" ht="12.5" x14ac:dyDescent="0.25">
      <c r="F761" s="2"/>
      <c r="H761" s="3"/>
    </row>
    <row r="762" spans="6:8" ht="12.5" x14ac:dyDescent="0.25">
      <c r="F762" s="2"/>
      <c r="H762" s="3"/>
    </row>
    <row r="763" spans="6:8" ht="12.5" x14ac:dyDescent="0.25">
      <c r="F763" s="2"/>
      <c r="H763" s="3"/>
    </row>
    <row r="764" spans="6:8" ht="12.5" x14ac:dyDescent="0.25">
      <c r="F764" s="2"/>
      <c r="H764" s="3"/>
    </row>
    <row r="765" spans="6:8" ht="12.5" x14ac:dyDescent="0.25">
      <c r="F765" s="2"/>
      <c r="H765" s="3"/>
    </row>
    <row r="766" spans="6:8" ht="12.5" x14ac:dyDescent="0.25">
      <c r="F766" s="2"/>
      <c r="H766" s="3"/>
    </row>
    <row r="767" spans="6:8" ht="12.5" x14ac:dyDescent="0.25">
      <c r="F767" s="2"/>
      <c r="H767" s="3"/>
    </row>
    <row r="768" spans="6:8" ht="12.5" x14ac:dyDescent="0.25">
      <c r="F768" s="2"/>
      <c r="H768" s="3"/>
    </row>
    <row r="769" spans="6:8" ht="12.5" x14ac:dyDescent="0.25">
      <c r="F769" s="2"/>
      <c r="H769" s="3"/>
    </row>
    <row r="770" spans="6:8" ht="12.5" x14ac:dyDescent="0.25">
      <c r="F770" s="2"/>
      <c r="H770" s="3"/>
    </row>
    <row r="771" spans="6:8" ht="12.5" x14ac:dyDescent="0.25">
      <c r="F771" s="2"/>
      <c r="H771" s="3"/>
    </row>
    <row r="772" spans="6:8" ht="12.5" x14ac:dyDescent="0.25">
      <c r="F772" s="2"/>
      <c r="H772" s="3"/>
    </row>
    <row r="773" spans="6:8" ht="12.5" x14ac:dyDescent="0.25">
      <c r="F773" s="2"/>
      <c r="H773" s="3"/>
    </row>
    <row r="774" spans="6:8" ht="12.5" x14ac:dyDescent="0.25">
      <c r="F774" s="2"/>
      <c r="H774" s="3"/>
    </row>
    <row r="775" spans="6:8" ht="12.5" x14ac:dyDescent="0.25">
      <c r="F775" s="2"/>
      <c r="H775" s="3"/>
    </row>
    <row r="776" spans="6:8" ht="12.5" x14ac:dyDescent="0.25">
      <c r="F776" s="2"/>
      <c r="H776" s="3"/>
    </row>
    <row r="777" spans="6:8" ht="12.5" x14ac:dyDescent="0.25">
      <c r="F777" s="2"/>
      <c r="H777" s="3"/>
    </row>
    <row r="778" spans="6:8" ht="12.5" x14ac:dyDescent="0.25">
      <c r="F778" s="2"/>
      <c r="H778" s="3"/>
    </row>
    <row r="779" spans="6:8" ht="12.5" x14ac:dyDescent="0.25">
      <c r="F779" s="2"/>
      <c r="H779" s="3"/>
    </row>
    <row r="780" spans="6:8" ht="12.5" x14ac:dyDescent="0.25">
      <c r="F780" s="2"/>
      <c r="H780" s="3"/>
    </row>
    <row r="781" spans="6:8" ht="12.5" x14ac:dyDescent="0.25">
      <c r="F781" s="2"/>
      <c r="H781" s="3"/>
    </row>
    <row r="782" spans="6:8" ht="12.5" x14ac:dyDescent="0.25">
      <c r="F782" s="2"/>
      <c r="H782" s="3"/>
    </row>
    <row r="783" spans="6:8" ht="12.5" x14ac:dyDescent="0.25">
      <c r="F783" s="2"/>
      <c r="H783" s="3"/>
    </row>
    <row r="784" spans="6:8" ht="12.5" x14ac:dyDescent="0.25">
      <c r="F784" s="2"/>
      <c r="H784" s="3"/>
    </row>
    <row r="785" spans="6:8" ht="12.5" x14ac:dyDescent="0.25">
      <c r="F785" s="2"/>
      <c r="H785" s="3"/>
    </row>
    <row r="786" spans="6:8" ht="12.5" x14ac:dyDescent="0.25">
      <c r="F786" s="2"/>
      <c r="H786" s="3"/>
    </row>
    <row r="787" spans="6:8" ht="12.5" x14ac:dyDescent="0.25">
      <c r="F787" s="2"/>
      <c r="H787" s="3"/>
    </row>
    <row r="788" spans="6:8" ht="12.5" x14ac:dyDescent="0.25">
      <c r="F788" s="2"/>
      <c r="H788" s="3"/>
    </row>
    <row r="789" spans="6:8" ht="12.5" x14ac:dyDescent="0.25">
      <c r="F789" s="2"/>
      <c r="H789" s="3"/>
    </row>
    <row r="790" spans="6:8" ht="12.5" x14ac:dyDescent="0.25">
      <c r="F790" s="2"/>
      <c r="H790" s="3"/>
    </row>
    <row r="791" spans="6:8" ht="12.5" x14ac:dyDescent="0.25">
      <c r="F791" s="2"/>
      <c r="H791" s="3"/>
    </row>
    <row r="792" spans="6:8" ht="12.5" x14ac:dyDescent="0.25">
      <c r="F792" s="2"/>
      <c r="H792" s="3"/>
    </row>
    <row r="793" spans="6:8" ht="12.5" x14ac:dyDescent="0.25">
      <c r="F793" s="2"/>
      <c r="H793" s="3"/>
    </row>
    <row r="794" spans="6:8" ht="12.5" x14ac:dyDescent="0.25">
      <c r="F794" s="2"/>
      <c r="H794" s="3"/>
    </row>
    <row r="795" spans="6:8" ht="12.5" x14ac:dyDescent="0.25">
      <c r="F795" s="2"/>
      <c r="H795" s="3"/>
    </row>
    <row r="796" spans="6:8" ht="12.5" x14ac:dyDescent="0.25">
      <c r="F796" s="2"/>
      <c r="H796" s="3"/>
    </row>
    <row r="797" spans="6:8" ht="12.5" x14ac:dyDescent="0.25">
      <c r="F797" s="2"/>
      <c r="H797" s="3"/>
    </row>
    <row r="798" spans="6:8" ht="12.5" x14ac:dyDescent="0.25">
      <c r="F798" s="2"/>
      <c r="H798" s="3"/>
    </row>
    <row r="799" spans="6:8" ht="12.5" x14ac:dyDescent="0.25">
      <c r="F799" s="2"/>
      <c r="H799" s="3"/>
    </row>
    <row r="800" spans="6:8" ht="12.5" x14ac:dyDescent="0.25">
      <c r="F800" s="2"/>
      <c r="H800" s="3"/>
    </row>
    <row r="801" spans="6:8" ht="12.5" x14ac:dyDescent="0.25">
      <c r="F801" s="2"/>
      <c r="H801" s="3"/>
    </row>
    <row r="802" spans="6:8" ht="12.5" x14ac:dyDescent="0.25">
      <c r="F802" s="2"/>
      <c r="H802" s="3"/>
    </row>
    <row r="803" spans="6:8" ht="12.5" x14ac:dyDescent="0.25">
      <c r="F803" s="2"/>
      <c r="H803" s="3"/>
    </row>
    <row r="804" spans="6:8" ht="12.5" x14ac:dyDescent="0.25">
      <c r="F804" s="2"/>
      <c r="H804" s="3"/>
    </row>
    <row r="805" spans="6:8" ht="12.5" x14ac:dyDescent="0.25">
      <c r="F805" s="2"/>
      <c r="H805" s="3"/>
    </row>
    <row r="806" spans="6:8" ht="12.5" x14ac:dyDescent="0.25">
      <c r="F806" s="2"/>
      <c r="H806" s="3"/>
    </row>
    <row r="807" spans="6:8" ht="12.5" x14ac:dyDescent="0.25">
      <c r="F807" s="2"/>
      <c r="H807" s="3"/>
    </row>
    <row r="808" spans="6:8" ht="12.5" x14ac:dyDescent="0.25">
      <c r="F808" s="2"/>
      <c r="H808" s="3"/>
    </row>
    <row r="809" spans="6:8" ht="12.5" x14ac:dyDescent="0.25">
      <c r="F809" s="2"/>
      <c r="H809" s="3"/>
    </row>
    <row r="810" spans="6:8" ht="12.5" x14ac:dyDescent="0.25">
      <c r="F810" s="2"/>
      <c r="H810" s="3"/>
    </row>
    <row r="811" spans="6:8" ht="12.5" x14ac:dyDescent="0.25">
      <c r="F811" s="2"/>
      <c r="H811" s="3"/>
    </row>
    <row r="812" spans="6:8" ht="12.5" x14ac:dyDescent="0.25">
      <c r="F812" s="2"/>
      <c r="H812" s="3"/>
    </row>
    <row r="813" spans="6:8" ht="12.5" x14ac:dyDescent="0.25">
      <c r="F813" s="2"/>
      <c r="H813" s="3"/>
    </row>
    <row r="814" spans="6:8" ht="12.5" x14ac:dyDescent="0.25">
      <c r="F814" s="2"/>
      <c r="H814" s="3"/>
    </row>
    <row r="815" spans="6:8" ht="12.5" x14ac:dyDescent="0.25">
      <c r="F815" s="2"/>
      <c r="H815" s="3"/>
    </row>
    <row r="816" spans="6:8" ht="12.5" x14ac:dyDescent="0.25">
      <c r="F816" s="2"/>
      <c r="H816" s="3"/>
    </row>
    <row r="817" spans="6:8" ht="12.5" x14ac:dyDescent="0.25">
      <c r="F817" s="2"/>
      <c r="H817" s="3"/>
    </row>
    <row r="818" spans="6:8" ht="12.5" x14ac:dyDescent="0.25">
      <c r="F818" s="2"/>
      <c r="H818" s="3"/>
    </row>
    <row r="819" spans="6:8" ht="12.5" x14ac:dyDescent="0.25">
      <c r="F819" s="2"/>
      <c r="H819" s="3"/>
    </row>
    <row r="820" spans="6:8" ht="12.5" x14ac:dyDescent="0.25">
      <c r="F820" s="2"/>
      <c r="H820" s="3"/>
    </row>
    <row r="821" spans="6:8" ht="12.5" x14ac:dyDescent="0.25">
      <c r="F821" s="2"/>
      <c r="H821" s="3"/>
    </row>
    <row r="822" spans="6:8" ht="12.5" x14ac:dyDescent="0.25">
      <c r="F822" s="2"/>
      <c r="H822" s="3"/>
    </row>
    <row r="823" spans="6:8" ht="12.5" x14ac:dyDescent="0.25">
      <c r="F823" s="2"/>
      <c r="H823" s="3"/>
    </row>
    <row r="824" spans="6:8" ht="12.5" x14ac:dyDescent="0.25">
      <c r="F824" s="2"/>
      <c r="H824" s="3"/>
    </row>
    <row r="825" spans="6:8" ht="12.5" x14ac:dyDescent="0.25">
      <c r="F825" s="2"/>
      <c r="H825" s="3"/>
    </row>
    <row r="826" spans="6:8" ht="12.5" x14ac:dyDescent="0.25">
      <c r="F826" s="2"/>
      <c r="H826" s="3"/>
    </row>
    <row r="827" spans="6:8" ht="12.5" x14ac:dyDescent="0.25">
      <c r="F827" s="2"/>
      <c r="H827" s="3"/>
    </row>
    <row r="828" spans="6:8" ht="12.5" x14ac:dyDescent="0.25">
      <c r="F828" s="2"/>
      <c r="H828" s="3"/>
    </row>
    <row r="829" spans="6:8" ht="12.5" x14ac:dyDescent="0.25">
      <c r="F829" s="2"/>
      <c r="H829" s="3"/>
    </row>
    <row r="830" spans="6:8" ht="12.5" x14ac:dyDescent="0.25">
      <c r="F830" s="2"/>
      <c r="H830" s="3"/>
    </row>
    <row r="831" spans="6:8" ht="12.5" x14ac:dyDescent="0.25">
      <c r="F831" s="2"/>
      <c r="H831" s="3"/>
    </row>
    <row r="832" spans="6:8" ht="12.5" x14ac:dyDescent="0.25">
      <c r="F832" s="2"/>
      <c r="H832" s="3"/>
    </row>
    <row r="833" spans="6:8" ht="12.5" x14ac:dyDescent="0.25">
      <c r="F833" s="2"/>
      <c r="H833" s="3"/>
    </row>
    <row r="834" spans="6:8" ht="12.5" x14ac:dyDescent="0.25">
      <c r="F834" s="2"/>
      <c r="H834" s="3"/>
    </row>
    <row r="835" spans="6:8" ht="12.5" x14ac:dyDescent="0.25">
      <c r="F835" s="2"/>
      <c r="H835" s="3"/>
    </row>
    <row r="836" spans="6:8" ht="12.5" x14ac:dyDescent="0.25">
      <c r="F836" s="2"/>
      <c r="H836" s="3"/>
    </row>
    <row r="837" spans="6:8" ht="12.5" x14ac:dyDescent="0.25">
      <c r="F837" s="2"/>
      <c r="H837" s="3"/>
    </row>
    <row r="838" spans="6:8" ht="12.5" x14ac:dyDescent="0.25">
      <c r="F838" s="2"/>
      <c r="H838" s="3"/>
    </row>
    <row r="839" spans="6:8" ht="12.5" x14ac:dyDescent="0.25">
      <c r="F839" s="2"/>
      <c r="H839" s="3"/>
    </row>
    <row r="840" spans="6:8" ht="12.5" x14ac:dyDescent="0.25">
      <c r="F840" s="2"/>
      <c r="H840" s="3"/>
    </row>
    <row r="841" spans="6:8" ht="12.5" x14ac:dyDescent="0.25">
      <c r="F841" s="2"/>
      <c r="H841" s="3"/>
    </row>
    <row r="842" spans="6:8" ht="12.5" x14ac:dyDescent="0.25">
      <c r="F842" s="2"/>
      <c r="H842" s="3"/>
    </row>
    <row r="843" spans="6:8" ht="12.5" x14ac:dyDescent="0.25">
      <c r="F843" s="2"/>
      <c r="H843" s="3"/>
    </row>
    <row r="844" spans="6:8" ht="12.5" x14ac:dyDescent="0.25">
      <c r="F844" s="2"/>
      <c r="H844" s="3"/>
    </row>
    <row r="845" spans="6:8" ht="12.5" x14ac:dyDescent="0.25">
      <c r="F845" s="2"/>
      <c r="H845" s="3"/>
    </row>
    <row r="846" spans="6:8" ht="12.5" x14ac:dyDescent="0.25">
      <c r="F846" s="2"/>
      <c r="H846" s="3"/>
    </row>
    <row r="847" spans="6:8" ht="12.5" x14ac:dyDescent="0.25">
      <c r="F847" s="2"/>
      <c r="H847" s="3"/>
    </row>
    <row r="848" spans="6:8" ht="12.5" x14ac:dyDescent="0.25">
      <c r="F848" s="2"/>
      <c r="H848" s="3"/>
    </row>
    <row r="849" spans="6:8" ht="12.5" x14ac:dyDescent="0.25">
      <c r="F849" s="2"/>
      <c r="H849" s="3"/>
    </row>
    <row r="850" spans="6:8" ht="12.5" x14ac:dyDescent="0.25">
      <c r="F850" s="2"/>
      <c r="H850" s="3"/>
    </row>
    <row r="851" spans="6:8" ht="12.5" x14ac:dyDescent="0.25">
      <c r="F851" s="2"/>
      <c r="H851" s="3"/>
    </row>
    <row r="852" spans="6:8" ht="12.5" x14ac:dyDescent="0.25">
      <c r="F852" s="2"/>
      <c r="H852" s="3"/>
    </row>
    <row r="853" spans="6:8" ht="12.5" x14ac:dyDescent="0.25">
      <c r="F853" s="2"/>
      <c r="H853" s="3"/>
    </row>
    <row r="854" spans="6:8" ht="12.5" x14ac:dyDescent="0.25">
      <c r="F854" s="2"/>
      <c r="H854" s="3"/>
    </row>
    <row r="855" spans="6:8" ht="12.5" x14ac:dyDescent="0.25">
      <c r="F855" s="2"/>
      <c r="H855" s="3"/>
    </row>
    <row r="856" spans="6:8" ht="12.5" x14ac:dyDescent="0.25">
      <c r="F856" s="2"/>
      <c r="H856" s="3"/>
    </row>
    <row r="857" spans="6:8" ht="12.5" x14ac:dyDescent="0.25">
      <c r="F857" s="2"/>
      <c r="H857" s="3"/>
    </row>
    <row r="858" spans="6:8" ht="12.5" x14ac:dyDescent="0.25">
      <c r="F858" s="2"/>
      <c r="H858" s="3"/>
    </row>
    <row r="859" spans="6:8" ht="12.5" x14ac:dyDescent="0.25">
      <c r="F859" s="2"/>
      <c r="H859" s="3"/>
    </row>
    <row r="860" spans="6:8" ht="12.5" x14ac:dyDescent="0.25">
      <c r="F860" s="2"/>
      <c r="H860" s="3"/>
    </row>
    <row r="861" spans="6:8" ht="12.5" x14ac:dyDescent="0.25">
      <c r="F861" s="2"/>
      <c r="H861" s="3"/>
    </row>
    <row r="862" spans="6:8" ht="12.5" x14ac:dyDescent="0.25">
      <c r="F862" s="2"/>
      <c r="H862" s="3"/>
    </row>
    <row r="863" spans="6:8" ht="12.5" x14ac:dyDescent="0.25">
      <c r="F863" s="2"/>
      <c r="H863" s="3"/>
    </row>
    <row r="864" spans="6:8" ht="12.5" x14ac:dyDescent="0.25">
      <c r="F864" s="2"/>
      <c r="H864" s="3"/>
    </row>
    <row r="865" spans="6:8" ht="12.5" x14ac:dyDescent="0.25">
      <c r="F865" s="2"/>
      <c r="H865" s="3"/>
    </row>
    <row r="866" spans="6:8" ht="12.5" x14ac:dyDescent="0.25">
      <c r="F866" s="2"/>
      <c r="H866" s="3"/>
    </row>
    <row r="867" spans="6:8" ht="12.5" x14ac:dyDescent="0.25">
      <c r="F867" s="2"/>
      <c r="H867" s="3"/>
    </row>
    <row r="868" spans="6:8" ht="12.5" x14ac:dyDescent="0.25">
      <c r="F868" s="2"/>
      <c r="H868" s="3"/>
    </row>
    <row r="869" spans="6:8" ht="12.5" x14ac:dyDescent="0.25">
      <c r="F869" s="2"/>
      <c r="H869" s="3"/>
    </row>
    <row r="870" spans="6:8" ht="12.5" x14ac:dyDescent="0.25">
      <c r="F870" s="2"/>
      <c r="H870" s="3"/>
    </row>
    <row r="871" spans="6:8" ht="12.5" x14ac:dyDescent="0.25">
      <c r="F871" s="2"/>
      <c r="H871" s="3"/>
    </row>
    <row r="872" spans="6:8" ht="12.5" x14ac:dyDescent="0.25">
      <c r="F872" s="2"/>
      <c r="H872" s="3"/>
    </row>
    <row r="873" spans="6:8" ht="12.5" x14ac:dyDescent="0.25">
      <c r="F873" s="2"/>
      <c r="H873" s="3"/>
    </row>
    <row r="874" spans="6:8" ht="12.5" x14ac:dyDescent="0.25">
      <c r="F874" s="2"/>
      <c r="H874" s="3"/>
    </row>
    <row r="875" spans="6:8" ht="12.5" x14ac:dyDescent="0.25">
      <c r="F875" s="2"/>
      <c r="H875" s="3"/>
    </row>
    <row r="876" spans="6:8" ht="12.5" x14ac:dyDescent="0.25">
      <c r="F876" s="2"/>
      <c r="H876" s="3"/>
    </row>
    <row r="877" spans="6:8" ht="12.5" x14ac:dyDescent="0.25">
      <c r="F877" s="2"/>
      <c r="H877" s="3"/>
    </row>
    <row r="878" spans="6:8" ht="12.5" x14ac:dyDescent="0.25">
      <c r="F878" s="2"/>
      <c r="H878" s="3"/>
    </row>
    <row r="879" spans="6:8" ht="12.5" x14ac:dyDescent="0.25">
      <c r="F879" s="2"/>
      <c r="H879" s="3"/>
    </row>
    <row r="880" spans="6:8" ht="12.5" x14ac:dyDescent="0.25">
      <c r="F880" s="2"/>
      <c r="H880" s="3"/>
    </row>
    <row r="881" spans="6:8" ht="12.5" x14ac:dyDescent="0.25">
      <c r="F881" s="2"/>
      <c r="H881" s="3"/>
    </row>
    <row r="882" spans="6:8" ht="12.5" x14ac:dyDescent="0.25">
      <c r="F882" s="2"/>
      <c r="H882" s="3"/>
    </row>
    <row r="883" spans="6:8" ht="12.5" x14ac:dyDescent="0.25">
      <c r="F883" s="2"/>
      <c r="H883" s="3"/>
    </row>
    <row r="884" spans="6:8" ht="12.5" x14ac:dyDescent="0.25">
      <c r="F884" s="2"/>
      <c r="H884" s="3"/>
    </row>
    <row r="885" spans="6:8" ht="12.5" x14ac:dyDescent="0.25">
      <c r="F885" s="2"/>
      <c r="H885" s="3"/>
    </row>
    <row r="886" spans="6:8" ht="12.5" x14ac:dyDescent="0.25">
      <c r="F886" s="2"/>
      <c r="H886" s="3"/>
    </row>
    <row r="887" spans="6:8" ht="12.5" x14ac:dyDescent="0.25">
      <c r="F887" s="2"/>
      <c r="H887" s="3"/>
    </row>
    <row r="888" spans="6:8" ht="12.5" x14ac:dyDescent="0.25">
      <c r="F888" s="2"/>
      <c r="H888" s="3"/>
    </row>
    <row r="889" spans="6:8" ht="12.5" x14ac:dyDescent="0.25">
      <c r="F889" s="2"/>
      <c r="H889" s="3"/>
    </row>
    <row r="890" spans="6:8" ht="12.5" x14ac:dyDescent="0.25">
      <c r="F890" s="2"/>
      <c r="H890" s="3"/>
    </row>
    <row r="891" spans="6:8" ht="12.5" x14ac:dyDescent="0.25">
      <c r="F891" s="2"/>
      <c r="H891" s="3"/>
    </row>
    <row r="892" spans="6:8" ht="12.5" x14ac:dyDescent="0.25">
      <c r="F892" s="2"/>
      <c r="H892" s="3"/>
    </row>
    <row r="893" spans="6:8" ht="12.5" x14ac:dyDescent="0.25">
      <c r="F893" s="2"/>
      <c r="H893" s="3"/>
    </row>
    <row r="894" spans="6:8" ht="12.5" x14ac:dyDescent="0.25">
      <c r="F894" s="2"/>
      <c r="H894" s="3"/>
    </row>
    <row r="895" spans="6:8" ht="12.5" x14ac:dyDescent="0.25">
      <c r="F895" s="2"/>
      <c r="H895" s="3"/>
    </row>
    <row r="896" spans="6:8" ht="12.5" x14ac:dyDescent="0.25">
      <c r="F896" s="2"/>
      <c r="H896" s="3"/>
    </row>
    <row r="897" spans="6:8" ht="12.5" x14ac:dyDescent="0.25">
      <c r="F897" s="2"/>
      <c r="H897" s="3"/>
    </row>
    <row r="898" spans="6:8" ht="12.5" x14ac:dyDescent="0.25">
      <c r="F898" s="2"/>
      <c r="H898" s="3"/>
    </row>
    <row r="899" spans="6:8" ht="12.5" x14ac:dyDescent="0.25">
      <c r="F899" s="2"/>
      <c r="H899" s="3"/>
    </row>
    <row r="900" spans="6:8" ht="12.5" x14ac:dyDescent="0.25">
      <c r="F900" s="2"/>
      <c r="H900" s="3"/>
    </row>
    <row r="901" spans="6:8" ht="12.5" x14ac:dyDescent="0.25">
      <c r="F901" s="2"/>
      <c r="H901" s="3"/>
    </row>
    <row r="902" spans="6:8" ht="12.5" x14ac:dyDescent="0.25">
      <c r="F902" s="2"/>
      <c r="H902" s="3"/>
    </row>
    <row r="903" spans="6:8" ht="12.5" x14ac:dyDescent="0.25">
      <c r="F903" s="2"/>
      <c r="H903" s="3"/>
    </row>
    <row r="904" spans="6:8" ht="12.5" x14ac:dyDescent="0.25">
      <c r="F904" s="2"/>
      <c r="H904" s="3"/>
    </row>
    <row r="905" spans="6:8" ht="12.5" x14ac:dyDescent="0.25">
      <c r="F905" s="2"/>
      <c r="H905" s="3"/>
    </row>
    <row r="906" spans="6:8" ht="12.5" x14ac:dyDescent="0.25">
      <c r="F906" s="2"/>
      <c r="H906" s="3"/>
    </row>
    <row r="907" spans="6:8" ht="12.5" x14ac:dyDescent="0.25">
      <c r="F907" s="2"/>
      <c r="H907" s="3"/>
    </row>
    <row r="908" spans="6:8" ht="12.5" x14ac:dyDescent="0.25">
      <c r="F908" s="2"/>
      <c r="H908" s="3"/>
    </row>
    <row r="909" spans="6:8" ht="12.5" x14ac:dyDescent="0.25">
      <c r="F909" s="2"/>
      <c r="H909" s="3"/>
    </row>
    <row r="910" spans="6:8" ht="12.5" x14ac:dyDescent="0.25">
      <c r="F910" s="2"/>
      <c r="H910" s="3"/>
    </row>
    <row r="911" spans="6:8" ht="12.5" x14ac:dyDescent="0.25">
      <c r="F911" s="2"/>
      <c r="H911" s="3"/>
    </row>
    <row r="912" spans="6:8" ht="12.5" x14ac:dyDescent="0.25">
      <c r="F912" s="2"/>
      <c r="H912" s="3"/>
    </row>
    <row r="913" spans="6:8" ht="12.5" x14ac:dyDescent="0.25">
      <c r="F913" s="2"/>
      <c r="H913" s="3"/>
    </row>
    <row r="914" spans="6:8" ht="12.5" x14ac:dyDescent="0.25">
      <c r="F914" s="2"/>
      <c r="H914" s="3"/>
    </row>
    <row r="915" spans="6:8" ht="12.5" x14ac:dyDescent="0.25">
      <c r="F915" s="2"/>
      <c r="H915" s="3"/>
    </row>
    <row r="916" spans="6:8" ht="12.5" x14ac:dyDescent="0.25">
      <c r="F916" s="2"/>
      <c r="H916" s="3"/>
    </row>
    <row r="917" spans="6:8" ht="12.5" x14ac:dyDescent="0.25">
      <c r="F917" s="2"/>
      <c r="H917" s="3"/>
    </row>
    <row r="918" spans="6:8" ht="12.5" x14ac:dyDescent="0.25">
      <c r="F918" s="2"/>
      <c r="H918" s="3"/>
    </row>
    <row r="919" spans="6:8" ht="12.5" x14ac:dyDescent="0.25">
      <c r="F919" s="2"/>
      <c r="H919" s="3"/>
    </row>
    <row r="920" spans="6:8" ht="12.5" x14ac:dyDescent="0.25">
      <c r="F920" s="2"/>
      <c r="H920" s="3"/>
    </row>
    <row r="921" spans="6:8" ht="12.5" x14ac:dyDescent="0.25">
      <c r="F921" s="2"/>
      <c r="H921" s="3"/>
    </row>
    <row r="922" spans="6:8" ht="12.5" x14ac:dyDescent="0.25">
      <c r="F922" s="2"/>
      <c r="H922" s="3"/>
    </row>
    <row r="923" spans="6:8" ht="12.5" x14ac:dyDescent="0.25">
      <c r="F923" s="2"/>
      <c r="H923" s="3"/>
    </row>
    <row r="924" spans="6:8" ht="12.5" x14ac:dyDescent="0.25">
      <c r="F924" s="2"/>
      <c r="H924" s="3"/>
    </row>
    <row r="925" spans="6:8" ht="12.5" x14ac:dyDescent="0.25">
      <c r="F925" s="2"/>
      <c r="H925" s="3"/>
    </row>
    <row r="926" spans="6:8" ht="12.5" x14ac:dyDescent="0.25">
      <c r="F926" s="2"/>
      <c r="H926" s="3"/>
    </row>
    <row r="927" spans="6:8" ht="12.5" x14ac:dyDescent="0.25">
      <c r="F927" s="2"/>
      <c r="H927" s="3"/>
    </row>
    <row r="928" spans="6:8" ht="12.5" x14ac:dyDescent="0.25">
      <c r="F928" s="2"/>
      <c r="H928" s="3"/>
    </row>
    <row r="929" spans="6:8" ht="12.5" x14ac:dyDescent="0.25">
      <c r="F929" s="2"/>
      <c r="H929" s="3"/>
    </row>
    <row r="930" spans="6:8" ht="12.5" x14ac:dyDescent="0.25">
      <c r="F930" s="2"/>
      <c r="H930" s="3"/>
    </row>
    <row r="931" spans="6:8" ht="12.5" x14ac:dyDescent="0.25">
      <c r="F931" s="2"/>
      <c r="H931" s="3"/>
    </row>
    <row r="932" spans="6:8" ht="12.5" x14ac:dyDescent="0.25">
      <c r="F932" s="2"/>
      <c r="H932" s="3"/>
    </row>
    <row r="933" spans="6:8" ht="12.5" x14ac:dyDescent="0.25">
      <c r="F933" s="2"/>
      <c r="H933" s="3"/>
    </row>
    <row r="934" spans="6:8" ht="12.5" x14ac:dyDescent="0.25">
      <c r="F934" s="2"/>
      <c r="H934" s="3"/>
    </row>
    <row r="935" spans="6:8" ht="12.5" x14ac:dyDescent="0.25">
      <c r="F935" s="2"/>
      <c r="H935" s="3"/>
    </row>
    <row r="936" spans="6:8" ht="12.5" x14ac:dyDescent="0.25">
      <c r="F936" s="2"/>
      <c r="H936" s="3"/>
    </row>
    <row r="937" spans="6:8" ht="12.5" x14ac:dyDescent="0.25">
      <c r="F937" s="2"/>
      <c r="H937" s="3"/>
    </row>
    <row r="938" spans="6:8" ht="12.5" x14ac:dyDescent="0.25">
      <c r="F938" s="2"/>
      <c r="H938" s="3"/>
    </row>
    <row r="939" spans="6:8" ht="12.5" x14ac:dyDescent="0.25">
      <c r="F939" s="2"/>
      <c r="H939" s="3"/>
    </row>
    <row r="940" spans="6:8" ht="12.5" x14ac:dyDescent="0.25">
      <c r="F940" s="2"/>
      <c r="H940" s="3"/>
    </row>
    <row r="941" spans="6:8" ht="12.5" x14ac:dyDescent="0.25">
      <c r="F941" s="2"/>
      <c r="H941" s="3"/>
    </row>
    <row r="942" spans="6:8" ht="12.5" x14ac:dyDescent="0.25">
      <c r="F942" s="2"/>
      <c r="H942" s="3"/>
    </row>
    <row r="943" spans="6:8" ht="12.5" x14ac:dyDescent="0.25">
      <c r="F943" s="2"/>
      <c r="H943" s="3"/>
    </row>
    <row r="944" spans="6:8" ht="12.5" x14ac:dyDescent="0.25">
      <c r="F944" s="2"/>
      <c r="H944" s="3"/>
    </row>
    <row r="945" spans="6:8" ht="12.5" x14ac:dyDescent="0.25">
      <c r="F945" s="2"/>
      <c r="H945" s="3"/>
    </row>
    <row r="946" spans="6:8" ht="12.5" x14ac:dyDescent="0.25">
      <c r="F946" s="2"/>
      <c r="H946" s="3"/>
    </row>
    <row r="947" spans="6:8" ht="12.5" x14ac:dyDescent="0.25">
      <c r="F947" s="2"/>
      <c r="H947" s="3"/>
    </row>
    <row r="948" spans="6:8" ht="12.5" x14ac:dyDescent="0.25">
      <c r="F948" s="2"/>
      <c r="H948" s="3"/>
    </row>
    <row r="949" spans="6:8" ht="12.5" x14ac:dyDescent="0.25">
      <c r="F949" s="2"/>
      <c r="H949" s="3"/>
    </row>
    <row r="950" spans="6:8" ht="12.5" x14ac:dyDescent="0.25">
      <c r="F950" s="2"/>
      <c r="H950" s="3"/>
    </row>
    <row r="951" spans="6:8" ht="12.5" x14ac:dyDescent="0.25">
      <c r="F951" s="2"/>
      <c r="H951" s="3"/>
    </row>
    <row r="952" spans="6:8" ht="12.5" x14ac:dyDescent="0.25">
      <c r="F952" s="2"/>
      <c r="H952" s="3"/>
    </row>
    <row r="953" spans="6:8" ht="12.5" x14ac:dyDescent="0.25">
      <c r="F953" s="2"/>
      <c r="H953" s="3"/>
    </row>
    <row r="954" spans="6:8" ht="12.5" x14ac:dyDescent="0.25">
      <c r="F954" s="2"/>
      <c r="H954" s="3"/>
    </row>
    <row r="955" spans="6:8" ht="12.5" x14ac:dyDescent="0.25">
      <c r="F955" s="2"/>
      <c r="H955" s="3"/>
    </row>
    <row r="956" spans="6:8" ht="12.5" x14ac:dyDescent="0.25">
      <c r="F956" s="2"/>
      <c r="H956" s="3"/>
    </row>
    <row r="957" spans="6:8" ht="12.5" x14ac:dyDescent="0.25">
      <c r="F957" s="2"/>
      <c r="H957" s="3"/>
    </row>
    <row r="958" spans="6:8" ht="12.5" x14ac:dyDescent="0.25">
      <c r="F958" s="2"/>
      <c r="H958" s="3"/>
    </row>
    <row r="959" spans="6:8" ht="12.5" x14ac:dyDescent="0.25">
      <c r="F959" s="2"/>
      <c r="H959" s="3"/>
    </row>
    <row r="960" spans="6:8" ht="12.5" x14ac:dyDescent="0.25">
      <c r="F960" s="2"/>
      <c r="H960" s="3"/>
    </row>
    <row r="961" spans="6:8" ht="12.5" x14ac:dyDescent="0.25">
      <c r="F961" s="2"/>
      <c r="H961" s="3"/>
    </row>
    <row r="962" spans="6:8" ht="12.5" x14ac:dyDescent="0.25">
      <c r="F962" s="2"/>
      <c r="H962" s="3"/>
    </row>
    <row r="963" spans="6:8" ht="12.5" x14ac:dyDescent="0.25">
      <c r="F963" s="2"/>
      <c r="H963" s="3"/>
    </row>
    <row r="964" spans="6:8" ht="12.5" x14ac:dyDescent="0.25">
      <c r="F964" s="2"/>
      <c r="H964" s="3"/>
    </row>
    <row r="965" spans="6:8" ht="12.5" x14ac:dyDescent="0.25">
      <c r="F965" s="2"/>
      <c r="H965" s="3"/>
    </row>
    <row r="966" spans="6:8" ht="12.5" x14ac:dyDescent="0.25">
      <c r="F966" s="2"/>
      <c r="H966" s="3"/>
    </row>
    <row r="967" spans="6:8" ht="12.5" x14ac:dyDescent="0.25">
      <c r="F967" s="2"/>
      <c r="H967" s="3"/>
    </row>
    <row r="968" spans="6:8" ht="12.5" x14ac:dyDescent="0.25">
      <c r="F968" s="2"/>
      <c r="H968" s="3"/>
    </row>
    <row r="969" spans="6:8" ht="12.5" x14ac:dyDescent="0.25">
      <c r="F969" s="2"/>
      <c r="H969" s="3"/>
    </row>
    <row r="970" spans="6:8" ht="12.5" x14ac:dyDescent="0.25">
      <c r="F970" s="2"/>
      <c r="H970" s="3"/>
    </row>
    <row r="971" spans="6:8" ht="12.5" x14ac:dyDescent="0.25">
      <c r="F971" s="2"/>
      <c r="H971" s="3"/>
    </row>
    <row r="972" spans="6:8" ht="12.5" x14ac:dyDescent="0.25">
      <c r="F972" s="2"/>
      <c r="H972" s="3"/>
    </row>
    <row r="973" spans="6:8" ht="12.5" x14ac:dyDescent="0.25">
      <c r="F973" s="2"/>
      <c r="H973" s="3"/>
    </row>
    <row r="974" spans="6:8" ht="12.5" x14ac:dyDescent="0.25">
      <c r="F974" s="2"/>
      <c r="H974" s="3"/>
    </row>
    <row r="975" spans="6:8" ht="12.5" x14ac:dyDescent="0.25">
      <c r="F975" s="2"/>
      <c r="H975" s="3"/>
    </row>
    <row r="976" spans="6:8" ht="12.5" x14ac:dyDescent="0.25">
      <c r="F976" s="2"/>
      <c r="H976" s="3"/>
    </row>
    <row r="977" spans="6:8" ht="12.5" x14ac:dyDescent="0.25">
      <c r="F977" s="2"/>
      <c r="H977" s="3"/>
    </row>
    <row r="978" spans="6:8" ht="12.5" x14ac:dyDescent="0.25">
      <c r="F978" s="2"/>
      <c r="H978" s="3"/>
    </row>
    <row r="979" spans="6:8" ht="12.5" x14ac:dyDescent="0.25">
      <c r="F979" s="2"/>
      <c r="H979" s="3"/>
    </row>
    <row r="980" spans="6:8" ht="12.5" x14ac:dyDescent="0.25">
      <c r="F980" s="2"/>
      <c r="H980" s="3"/>
    </row>
    <row r="981" spans="6:8" ht="12.5" x14ac:dyDescent="0.25">
      <c r="F981" s="2"/>
      <c r="H981" s="3"/>
    </row>
    <row r="982" spans="6:8" ht="12.5" x14ac:dyDescent="0.25">
      <c r="F982" s="2"/>
      <c r="H982" s="3"/>
    </row>
    <row r="983" spans="6:8" ht="12.5" x14ac:dyDescent="0.25">
      <c r="F983" s="2"/>
      <c r="H983" s="3"/>
    </row>
    <row r="984" spans="6:8" ht="12.5" x14ac:dyDescent="0.25">
      <c r="F984" s="2"/>
      <c r="H984" s="3"/>
    </row>
    <row r="985" spans="6:8" ht="12.5" x14ac:dyDescent="0.25">
      <c r="F985" s="2"/>
      <c r="H985" s="3"/>
    </row>
    <row r="986" spans="6:8" ht="12.5" x14ac:dyDescent="0.25">
      <c r="F986" s="2"/>
      <c r="H986" s="3"/>
    </row>
    <row r="987" spans="6:8" ht="12.5" x14ac:dyDescent="0.25">
      <c r="F987" s="2"/>
      <c r="H987" s="3"/>
    </row>
    <row r="988" spans="6:8" ht="12.5" x14ac:dyDescent="0.25">
      <c r="F988" s="2"/>
      <c r="H988" s="3"/>
    </row>
    <row r="989" spans="6:8" ht="12.5" x14ac:dyDescent="0.25">
      <c r="F989" s="2"/>
      <c r="H989" s="3"/>
    </row>
    <row r="990" spans="6:8" ht="12.5" x14ac:dyDescent="0.25">
      <c r="F990" s="2"/>
      <c r="H990" s="3"/>
    </row>
    <row r="991" spans="6:8" ht="12.5" x14ac:dyDescent="0.25">
      <c r="F991" s="2"/>
      <c r="H991" s="3"/>
    </row>
    <row r="992" spans="6:8" ht="12.5" x14ac:dyDescent="0.25">
      <c r="F992" s="2"/>
      <c r="H992" s="3"/>
    </row>
    <row r="993" spans="6:8" ht="12.5" x14ac:dyDescent="0.25">
      <c r="F993" s="2"/>
      <c r="H993" s="3"/>
    </row>
    <row r="994" spans="6:8" ht="12.5" x14ac:dyDescent="0.25">
      <c r="F994" s="2"/>
      <c r="H994" s="3"/>
    </row>
    <row r="995" spans="6:8" ht="12.5" x14ac:dyDescent="0.25">
      <c r="F995" s="2"/>
      <c r="H995" s="3"/>
    </row>
    <row r="996" spans="6:8" ht="12.5" x14ac:dyDescent="0.25">
      <c r="F996" s="2"/>
      <c r="H996" s="3"/>
    </row>
    <row r="997" spans="6:8" ht="12.5" x14ac:dyDescent="0.25">
      <c r="F997" s="2"/>
      <c r="H997" s="3"/>
    </row>
    <row r="998" spans="6:8" ht="12.5" x14ac:dyDescent="0.25">
      <c r="F998" s="2"/>
      <c r="H998" s="3"/>
    </row>
    <row r="999" spans="6:8" ht="12.5" x14ac:dyDescent="0.25">
      <c r="F999" s="2"/>
      <c r="H999" s="3"/>
    </row>
    <row r="1000" spans="6:8" ht="12.5" x14ac:dyDescent="0.25">
      <c r="F1000" s="2"/>
      <c r="H1000" s="3"/>
    </row>
    <row r="1001" spans="6:8" ht="12.5" x14ac:dyDescent="0.25">
      <c r="F1001" s="2"/>
      <c r="H1001" s="3"/>
    </row>
    <row r="1002" spans="6:8" ht="12.5" x14ac:dyDescent="0.25">
      <c r="F1002" s="2"/>
      <c r="H1002" s="3"/>
    </row>
    <row r="1003" spans="6:8" ht="12.5" x14ac:dyDescent="0.25">
      <c r="F1003" s="2"/>
      <c r="H1003" s="3"/>
    </row>
    <row r="1004" spans="6:8" ht="12.5" x14ac:dyDescent="0.25">
      <c r="F1004" s="2"/>
      <c r="H1004" s="3"/>
    </row>
    <row r="1005" spans="6:8" ht="12.5" x14ac:dyDescent="0.25">
      <c r="F1005" s="2"/>
      <c r="H1005" s="3"/>
    </row>
    <row r="1006" spans="6:8" ht="12.5" x14ac:dyDescent="0.25">
      <c r="F1006" s="2"/>
      <c r="H1006" s="3"/>
    </row>
    <row r="1007" spans="6:8" ht="12.5" x14ac:dyDescent="0.25">
      <c r="F1007" s="2"/>
      <c r="H1007" s="3"/>
    </row>
    <row r="1008" spans="6:8" ht="12.5" x14ac:dyDescent="0.25">
      <c r="F1008" s="2"/>
      <c r="H1008" s="3"/>
    </row>
    <row r="1009" spans="6:8" ht="12.5" x14ac:dyDescent="0.25">
      <c r="F1009" s="2"/>
      <c r="H1009" s="3"/>
    </row>
    <row r="1010" spans="6:8" ht="12.5" x14ac:dyDescent="0.25">
      <c r="F1010" s="2"/>
      <c r="H1010" s="3"/>
    </row>
    <row r="1011" spans="6:8" ht="12.5" x14ac:dyDescent="0.25">
      <c r="F1011" s="2"/>
      <c r="H1011" s="3"/>
    </row>
    <row r="1012" spans="6:8" ht="12.5" x14ac:dyDescent="0.25">
      <c r="F1012" s="2"/>
      <c r="H1012" s="3"/>
    </row>
    <row r="1013" spans="6:8" ht="12.5" x14ac:dyDescent="0.25">
      <c r="F1013" s="2"/>
      <c r="H1013" s="3"/>
    </row>
    <row r="1014" spans="6:8" ht="12.5" x14ac:dyDescent="0.25">
      <c r="F1014" s="2"/>
      <c r="H1014" s="3"/>
    </row>
    <row r="1015" spans="6:8" ht="12.5" x14ac:dyDescent="0.25">
      <c r="F1015" s="2"/>
      <c r="H1015" s="3"/>
    </row>
    <row r="1016" spans="6:8" ht="12.5" x14ac:dyDescent="0.25">
      <c r="F1016" s="2"/>
      <c r="H1016" s="3"/>
    </row>
    <row r="1017" spans="6:8" ht="12.5" x14ac:dyDescent="0.25">
      <c r="F1017" s="2"/>
      <c r="H1017" s="3"/>
    </row>
    <row r="1018" spans="6:8" ht="12.5" x14ac:dyDescent="0.25">
      <c r="F1018" s="2"/>
      <c r="H1018" s="3"/>
    </row>
    <row r="1019" spans="6:8" ht="12.5" x14ac:dyDescent="0.25">
      <c r="F1019" s="2"/>
      <c r="H1019" s="3"/>
    </row>
    <row r="1020" spans="6:8" ht="12.5" x14ac:dyDescent="0.25">
      <c r="F1020" s="2"/>
      <c r="H1020" s="3"/>
    </row>
    <row r="1021" spans="6:8" ht="12.5" x14ac:dyDescent="0.25">
      <c r="F1021" s="2"/>
      <c r="H1021" s="3"/>
    </row>
    <row r="1022" spans="6:8" ht="12.5" x14ac:dyDescent="0.25">
      <c r="F1022" s="2"/>
      <c r="H1022" s="3"/>
    </row>
    <row r="1023" spans="6:8" ht="12.5" x14ac:dyDescent="0.25">
      <c r="F1023" s="2"/>
      <c r="H1023" s="3"/>
    </row>
  </sheetData>
  <hyperlinks>
    <hyperlink ref="I35" r:id="rId1" xr:uid="{641A71E1-4C67-4060-A6CE-6D53167DA0AD}"/>
    <hyperlink ref="I36" r:id="rId2" xr:uid="{DA670857-D52C-4E70-830E-EC59C1653D42}"/>
    <hyperlink ref="I37" r:id="rId3" xr:uid="{DB8E5685-F0FA-477E-8996-D9BFE4FA8C93}"/>
    <hyperlink ref="I31" r:id="rId4" xr:uid="{11503286-B830-4B89-8026-280DD8C34719}"/>
    <hyperlink ref="I20" r:id="rId5" xr:uid="{34172111-1935-4724-B419-A594D04D672F}"/>
    <hyperlink ref="I34" r:id="rId6" xr:uid="{F2C016F2-9FE0-4F1E-90F6-13FF9E2F7F55}"/>
    <hyperlink ref="I4" r:id="rId7" xr:uid="{18DACA09-DD95-4E56-B43C-287F3851AE85}"/>
    <hyperlink ref="I24" r:id="rId8" xr:uid="{E6C3FDD5-D603-4AC0-836D-B9655BEE61DF}"/>
    <hyperlink ref="I14" r:id="rId9" xr:uid="{041DAF12-68FE-488F-86D8-7CC1DEEBE742}"/>
    <hyperlink ref="I13" r:id="rId10" xr:uid="{FC53A82A-E96A-4274-B169-34D966B893F0}"/>
    <hyperlink ref="I32" r:id="rId11" xr:uid="{017A5CB5-A624-4334-ABB4-7B3247DABFF3}"/>
    <hyperlink ref="I11" r:id="rId12" xr:uid="{0CA07628-9743-4966-8BBA-94A93F007973}"/>
    <hyperlink ref="I33" r:id="rId13" xr:uid="{55EAC0D8-8DDC-4DD1-B9FA-45ED6CD24B9E}"/>
    <hyperlink ref="I25" r:id="rId14" xr:uid="{5E1B786B-630F-409D-B584-5144FDE3DD2A}"/>
    <hyperlink ref="I38" r:id="rId15" xr:uid="{0BCDCFE9-FDCE-40EC-BDE5-DFE0841B371D}"/>
    <hyperlink ref="I16" r:id="rId16" xr:uid="{9E31FBA4-DAD9-4DB4-84F2-4284BE87879B}"/>
    <hyperlink ref="I17" r:id="rId17" xr:uid="{8DE682AE-26B7-4B76-BD2C-71360581BC04}"/>
    <hyperlink ref="I18" r:id="rId18" xr:uid="{0216AAC8-4A37-454D-BDE7-62A12B672AC7}"/>
    <hyperlink ref="I19" r:id="rId19" xr:uid="{A351661A-A610-4D4A-A3F7-84054570F477}"/>
    <hyperlink ref="I21" r:id="rId20" xr:uid="{D3543C09-D542-45B7-B986-69103C636038}"/>
    <hyperlink ref="I22" r:id="rId21" xr:uid="{162E5F60-B6F3-4BEE-9CBC-59E50D848F9B}"/>
    <hyperlink ref="I23" r:id="rId22" xr:uid="{3EA7DFF6-D941-4F96-98BB-6E7A73041D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Dhyey Bhatt</cp:lastModifiedBy>
  <dcterms:modified xsi:type="dcterms:W3CDTF">2025-12-12T21:52:19Z</dcterms:modified>
</cp:coreProperties>
</file>